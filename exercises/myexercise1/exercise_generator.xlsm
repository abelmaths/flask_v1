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519" codeName="{00000000-0000-0000-0000-000000000000}"/>
  <workbookPr showInkAnnotation="0" codeName="ThisWorkbook" autoCompressPictures="0"/>
  <bookViews>
    <workbookView xWindow="560" yWindow="840" windowWidth="27200" windowHeight="14980" tabRatio="520" activeTab="1"/>
  </bookViews>
  <sheets>
    <sheet name="GO" sheetId="8" r:id="rId1"/>
    <sheet name="exercise_info.csv" sheetId="7" r:id="rId2"/>
    <sheet name="skeletons_04.csv" sheetId="1" r:id="rId3"/>
    <sheet name="variables_04.csv" sheetId="2" r:id="rId4"/>
    <sheet name="skeletons_02.csv" sheetId="5" r:id="rId5"/>
    <sheet name="variables_02.csv" sheetId="6" r:id="rId6"/>
    <sheet name="skeletons_01.csv" sheetId="3" r:id="rId7"/>
    <sheet name="variables_01.csv" sheetId="4" r:id="rId8"/>
  </sheet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J9" i="4" l="1"/>
  <c r="O9" i="4"/>
  <c r="N9" i="4"/>
  <c r="J8" i="4"/>
  <c r="O8" i="4"/>
  <c r="N8" i="4"/>
  <c r="J7" i="4"/>
  <c r="O7" i="4"/>
  <c r="N7" i="4"/>
  <c r="J6" i="4"/>
  <c r="O6" i="4"/>
  <c r="N6" i="4"/>
  <c r="J5" i="4"/>
  <c r="O5" i="4"/>
  <c r="N5" i="4"/>
  <c r="J4" i="4"/>
  <c r="O4" i="4"/>
  <c r="N4" i="4"/>
  <c r="J3" i="4"/>
  <c r="O3" i="4"/>
  <c r="N3" i="4"/>
  <c r="J2" i="4"/>
  <c r="O2" i="4"/>
  <c r="N2" i="4"/>
  <c r="G9" i="4"/>
  <c r="M9" i="4"/>
  <c r="L9" i="4"/>
  <c r="G8" i="4"/>
  <c r="M8" i="4"/>
  <c r="L8" i="4"/>
  <c r="G7" i="4"/>
  <c r="M7" i="4"/>
  <c r="L7" i="4"/>
  <c r="G6" i="4"/>
  <c r="M6" i="4"/>
  <c r="L6" i="4"/>
  <c r="G5" i="4"/>
  <c r="M5" i="4"/>
  <c r="L5" i="4"/>
  <c r="G4" i="4"/>
  <c r="M4" i="4"/>
  <c r="L4" i="4"/>
  <c r="G3" i="4"/>
  <c r="M3" i="4"/>
  <c r="L3" i="4"/>
  <c r="G2" i="4"/>
  <c r="M2" i="4"/>
  <c r="L2" i="4"/>
  <c r="J9" i="6"/>
  <c r="I9" i="6"/>
  <c r="H9" i="6"/>
  <c r="G9" i="6"/>
  <c r="F9" i="6"/>
  <c r="D9" i="6"/>
  <c r="J8" i="6"/>
  <c r="I8" i="6"/>
  <c r="H8" i="6"/>
  <c r="G8" i="6"/>
  <c r="F8" i="6"/>
  <c r="D8" i="6"/>
  <c r="J7" i="6"/>
  <c r="I7" i="6"/>
  <c r="H7" i="6"/>
  <c r="G7" i="6"/>
  <c r="F7" i="6"/>
  <c r="D7" i="6"/>
  <c r="J6" i="6"/>
  <c r="I6" i="6"/>
  <c r="H6" i="6"/>
  <c r="G6" i="6"/>
  <c r="F6" i="6"/>
  <c r="D6" i="6"/>
  <c r="J5" i="6"/>
  <c r="I5" i="6"/>
  <c r="H5" i="6"/>
  <c r="G5" i="6"/>
  <c r="F5" i="6"/>
  <c r="D5" i="6"/>
  <c r="J4" i="6"/>
  <c r="I4" i="6"/>
  <c r="H4" i="6"/>
  <c r="G4" i="6"/>
  <c r="F4" i="6"/>
  <c r="D4" i="6"/>
  <c r="J3" i="6"/>
  <c r="I3" i="6"/>
  <c r="H3" i="6"/>
  <c r="G3" i="6"/>
  <c r="F3" i="6"/>
  <c r="D3" i="6"/>
  <c r="J2" i="6"/>
  <c r="I2" i="6"/>
  <c r="H2" i="6"/>
  <c r="G2" i="6"/>
  <c r="F2" i="6"/>
  <c r="D2" i="6"/>
  <c r="L9" i="2"/>
  <c r="L8" i="2"/>
  <c r="L7" i="2"/>
  <c r="L6" i="2"/>
  <c r="L5" i="2"/>
  <c r="L4" i="2"/>
  <c r="L3" i="2"/>
  <c r="L2" i="2"/>
  <c r="K9" i="4"/>
  <c r="K8" i="4"/>
  <c r="K7" i="4"/>
  <c r="K6" i="4"/>
  <c r="K5" i="4"/>
  <c r="K4" i="4"/>
  <c r="K3" i="4"/>
  <c r="K2" i="4"/>
  <c r="I9" i="4"/>
  <c r="H9" i="4"/>
  <c r="I8" i="4"/>
  <c r="H8" i="4"/>
  <c r="I7" i="4"/>
  <c r="H7" i="4"/>
  <c r="I6" i="4"/>
  <c r="H6" i="4"/>
  <c r="I5" i="4"/>
  <c r="H5" i="4"/>
  <c r="I4" i="4"/>
  <c r="H4" i="4"/>
  <c r="I3" i="4"/>
  <c r="H3" i="4"/>
  <c r="I2" i="4"/>
  <c r="H2" i="4"/>
  <c r="F2" i="4"/>
  <c r="F3" i="4"/>
  <c r="F4" i="4"/>
  <c r="F5" i="4"/>
  <c r="F6" i="4"/>
  <c r="F7" i="4"/>
  <c r="F8" i="4"/>
  <c r="F9" i="4"/>
  <c r="I2" i="2"/>
  <c r="J2" i="2"/>
  <c r="K2" i="2"/>
  <c r="I3" i="2"/>
  <c r="J3" i="2"/>
  <c r="K3" i="2"/>
  <c r="I4" i="2"/>
  <c r="J4" i="2"/>
  <c r="K4" i="2"/>
  <c r="I5" i="2"/>
  <c r="J5" i="2"/>
  <c r="K5" i="2"/>
  <c r="I6" i="2"/>
  <c r="J6" i="2"/>
  <c r="K6" i="2"/>
  <c r="I7" i="2"/>
  <c r="J7" i="2"/>
  <c r="K7" i="2"/>
  <c r="I8" i="2"/>
  <c r="J8" i="2"/>
  <c r="K8" i="2"/>
  <c r="I9" i="2"/>
  <c r="J9" i="2"/>
  <c r="K9" i="2"/>
</calcChain>
</file>

<file path=xl/sharedStrings.xml><?xml version="1.0" encoding="utf-8"?>
<sst xmlns="http://schemas.openxmlformats.org/spreadsheetml/2006/main" count="170" uniqueCount="117">
  <si>
    <t>question_text</t>
  </si>
  <si>
    <t>In the Year {var_1} {var_2} exam, {var_3} scored {var_4}, {var_5} scored {var_6} and {var_7} scored {var_8}. What was the mean score?</t>
  </si>
  <si>
    <t>The mean score was {ans_1}.</t>
  </si>
  <si>
    <t>hint_text</t>
  </si>
  <si>
    <t>To work out the mean we need to add up the scores, then divide by the number of scores.</t>
  </si>
  <si>
    <t>scaffold_text</t>
  </si>
  <si>
    <t>First, we sum the scores. So {var_4} + {var_6} + {var_8} = {ans_2}.</t>
  </si>
  <si>
    <t>Now we divide the sum of the scores by the number of scores. So that's {var_9} / 3 = {ans_1}.</t>
  </si>
  <si>
    <t>corrects_required</t>
  </si>
  <si>
    <t>worked_example_start</t>
  </si>
  <si>
    <t>var_1</t>
  </si>
  <si>
    <t>var_2</t>
  </si>
  <si>
    <t>var_3</t>
  </si>
  <si>
    <t>var_4</t>
  </si>
  <si>
    <t>var_5</t>
  </si>
  <si>
    <t>var_6</t>
  </si>
  <si>
    <t>var_7</t>
  </si>
  <si>
    <t>var_8</t>
  </si>
  <si>
    <t>var_9</t>
  </si>
  <si>
    <t>ans_1</t>
  </si>
  <si>
    <t>ans_2</t>
  </si>
  <si>
    <t>maths</t>
  </si>
  <si>
    <t>David</t>
  </si>
  <si>
    <t>Charlotte</t>
  </si>
  <si>
    <t>Ed</t>
  </si>
  <si>
    <t>geography</t>
  </si>
  <si>
    <t>Emily</t>
  </si>
  <si>
    <t>Helen</t>
  </si>
  <si>
    <t>Emma</t>
  </si>
  <si>
    <t>English</t>
  </si>
  <si>
    <t>Elsa</t>
  </si>
  <si>
    <t>Nari</t>
  </si>
  <si>
    <t>Barry</t>
  </si>
  <si>
    <t>French</t>
  </si>
  <si>
    <t>Woody</t>
  </si>
  <si>
    <t>Simon</t>
  </si>
  <si>
    <t>Norman</t>
  </si>
  <si>
    <t>Latin</t>
  </si>
  <si>
    <t>Jared</t>
  </si>
  <si>
    <t>Adam</t>
  </si>
  <si>
    <t>physics</t>
  </si>
  <si>
    <t>Sharlene</t>
  </si>
  <si>
    <t>Stefano</t>
  </si>
  <si>
    <t>Earl</t>
  </si>
  <si>
    <t>Yui</t>
  </si>
  <si>
    <t>Vincent</t>
  </si>
  <si>
    <t>Patsy</t>
  </si>
  <si>
    <t>science</t>
  </si>
  <si>
    <t>Xi</t>
  </si>
  <si>
    <t>Anand</t>
  </si>
  <si>
    <t>Annie</t>
  </si>
  <si>
    <t>First work out how many he is holding after he drops the first {var_3}. This is {var_1}-{var_3}. Then add on {var_4} {var_5}.</t>
  </si>
  <si>
    <t>He originally has {var_1} {var_2}. He drops {var_3} so he is now holding {ans_1} {var_2}.</t>
  </si>
  <si>
    <t>ans_0</t>
  </si>
  <si>
    <t>apples</t>
  </si>
  <si>
    <t>bananas</t>
  </si>
  <si>
    <t>grapes</t>
  </si>
  <si>
    <t>strawberries</t>
  </si>
  <si>
    <t>melons</t>
  </si>
  <si>
    <t>pears</t>
  </si>
  <si>
    <t>oranges</t>
  </si>
  <si>
    <t>sausages</t>
  </si>
  <si>
    <t>lemons</t>
  </si>
  <si>
    <t>seeds</t>
  </si>
  <si>
    <t>marbles</t>
  </si>
  <si>
    <t>Careful to ADD what he picks up ({var_4} {var_5}) at the end onto your previous answer. Did you subtract?</t>
  </si>
  <si>
    <t>Careful to SUBTRACT what he drops ({var_3}) before adding what he picks up.</t>
  </si>
  <si>
    <t>ans_0_wrong_01_text</t>
  </si>
  <si>
    <t>ans_0_wrong_02_text</t>
  </si>
  <si>
    <t>ans_0_wrong_01</t>
  </si>
  <si>
    <t>ans_0_wrong_02</t>
  </si>
  <si>
    <t>ans_1_wrong_01</t>
  </si>
  <si>
    <t>ans_1_wrong_02</t>
  </si>
  <si>
    <t>ans_1_wrong_01_text</t>
  </si>
  <si>
    <t>Oops - you need to subtract {var_3} from {var_1} - it looks like you added them.</t>
  </si>
  <si>
    <t>The answer is {ans_1}. After adding up the scores we need to remember to divide by 3.</t>
  </si>
  <si>
    <t>Triangle ABC is a right-angle triangle. AC is {var_2}cm and angle ACB is {var_3} degrees. What is the length of {var_1}?</t>
  </si>
  <si>
    <t>The length of {var_1} is {ans_1}cm (1dp)</t>
  </si>
  <si>
    <t>Remember to use the acronym SOHCAHTOA to help you remember which trigonometric function you need</t>
  </si>
  <si>
    <t>In this question we are given the hyrpotenuse (H) and we are looking for the opposite side (O). Looking at SOHCAHTOA, the trigonometric function that connects the opposite and the hypotenuse is {ans_2} (1dp).</t>
  </si>
  <si>
    <t>Now that we know it is sin, we can use the formula: hypotenuse = sin(angle) x hypotenuse. Subbing our values in, we have {var_1} = sin({var_3}) x {var_2} = {ans_1}cm (1dp)</t>
  </si>
  <si>
    <t>Remember to close the brackets on your calculator after working out sin({var_3}). It looks like you worked out sin({var_3} x {var_2}) instead of sin({var_3}) x {var_2}.</t>
  </si>
  <si>
    <t>ans_1_wrong_02_text</t>
  </si>
  <si>
    <t>Careful. Since we have the hypotenuse, and we're looking for the opposite, it is sin that we need to use; not cos. Remember the acronym SOHCAHTOA. Which part has O and H in it? It's SOH, which tells us that it is sin that we need to use.</t>
  </si>
  <si>
    <t>ans_1_wrong_03_text</t>
  </si>
  <si>
    <t>Careful. Since we have the hypotenuse, and we're looking for the opposite, it is sin that we need to use; not tan. Remember the acronym SOHCAHTOA. Which part has O and H in it? It's SOH, which tells us that it is sin that we need to use.</t>
  </si>
  <si>
    <t>ans_2_wrong_01_text</t>
  </si>
  <si>
    <t>ans_2_wrong_02_text</t>
  </si>
  <si>
    <t>ans_1_wrong_03</t>
  </si>
  <si>
    <t>ans_2_wrong_01</t>
    <phoneticPr fontId="0" type="noConversion"/>
  </si>
  <si>
    <t>ans_2_wrong_02</t>
    <phoneticPr fontId="0" type="noConversion"/>
  </si>
  <si>
    <t>x</t>
    <phoneticPr fontId="0" type="noConversion"/>
  </si>
  <si>
    <t>sin</t>
    <phoneticPr fontId="0" type="noConversion"/>
  </si>
  <si>
    <t>h</t>
    <phoneticPr fontId="0" type="noConversion"/>
  </si>
  <si>
    <t>r</t>
    <phoneticPr fontId="0" type="noConversion"/>
  </si>
  <si>
    <t>y</t>
    <phoneticPr fontId="0" type="noConversion"/>
  </si>
  <si>
    <t>z</t>
    <phoneticPr fontId="0" type="noConversion"/>
  </si>
  <si>
    <t>exercise_name_unique</t>
  </si>
  <si>
    <t>exercise_title_visible</t>
  </si>
  <si>
    <t>exercise_description_visible</t>
  </si>
  <si>
    <t>This exercise is a test exercise and this is a test description</t>
  </si>
  <si>
    <t>year09_trig</t>
  </si>
  <si>
    <t>Trigonometry - shapes and bapes</t>
  </si>
  <si>
    <t>ans_0_reveal</t>
  </si>
  <si>
    <t>{var_1}-{var_3}+{var_4} = {ans_0}</t>
  </si>
  <si>
    <t>ans_1_reveal</t>
  </si>
  <si>
    <t>{var_1}-{var_3} = {ans_1}</t>
  </si>
  <si>
    <t>Michael is holding {var_1} {var_2}. He drops {var_3} of them.</t>
  </si>
  <si>
    <t>He then picks up {var_4} {var_5}. How many things is he holding?</t>
  </si>
  <si>
    <t>{ans_0}m</t>
  </si>
  <si>
    <t>ans_0_lower_limit</t>
  </si>
  <si>
    <t>ans_0_upper_limit</t>
  </si>
  <si>
    <t>image goes here</t>
  </si>
  <si>
    <t>ans_1_lower_limit</t>
  </si>
  <si>
    <t>ans_1_upper_limit</t>
  </si>
  <si>
    <t>Since he only now has {var_6} {var_2} and he picks up {var_4} {var_5}, he must be holding {ans_0} things.</t>
  </si>
  <si>
    <t>question_attempts_required</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</si>
</sst>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0"/>
      <name val="Arial"/>
      <family val="2"/>
    </font>
    <font>
      <u/>
      <sz val="10"/>
      <color theme="10"/>
      <name val="Arial"/>
      <family val="2"/>
    </font>
    <font>
      <u/>
      <sz val="10"/>
      <color theme="11"/>
      <name val="Arial"/>
      <family val="2"/>
    </font>
    <font>
      <sz val="12"/>
      <color rgb="FF000000"/>
      <name val="Lucida Grande"/>
    </font>
  </fonts>
  <fills count="2">
    <fill>
      <patternFill patternType="none"/>
    </fill>
    <fill>
      <patternFill patternType="gray125"/>
    </fill>
  </fills>
  <borders count="2">
    <border>
      <left/>
      <right/>
      <top/>
      <bottom/>
      <diagonal/>
    </border>
    <border>
      <left/>
      <right style="thin">
        <color auto="1"/>
      </right>
      <top/>
      <bottom/>
      <diagonal/>
    </border>
  </borders>
  <cellStyleXfs count="45">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cellStyleXfs>
  <cellXfs count="7">
    <xf numFmtId="0" fontId="0" fillId="0" borderId="0" xfId="0"/>
    <xf numFmtId="0" fontId="0" fillId="0" borderId="0" xfId="0" applyAlignment="1">
      <alignment horizontal="left"/>
    </xf>
    <xf numFmtId="0" fontId="0" fillId="0" borderId="0" xfId="0" applyFont="1" applyAlignment="1">
      <alignment horizontal="left" wrapText="1"/>
    </xf>
    <xf numFmtId="0" fontId="0" fillId="0" borderId="0" xfId="0" applyFont="1" applyAlignment="1">
      <alignment horizontal="left"/>
    </xf>
    <xf numFmtId="0" fontId="0" fillId="0" borderId="1" xfId="0" applyBorder="1"/>
    <xf numFmtId="0" fontId="0" fillId="0" borderId="0" xfId="0" applyAlignment="1">
      <alignment horizontal="left" wrapText="1"/>
    </xf>
    <xf numFmtId="0" fontId="0" fillId="0" borderId="0" xfId="0" applyAlignment="1">
      <alignment horizontal="center"/>
    </xf>
  </cellXfs>
  <cellStyles count="45">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317500</xdr:colOff>
          <xdr:row>1</xdr:row>
          <xdr:rowOff>88900</xdr:rowOff>
        </xdr:from>
        <xdr:to>
          <xdr:col>4</xdr:col>
          <xdr:colOff>355600</xdr:colOff>
          <xdr:row>7</xdr:row>
          <xdr:rowOff>114300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Click to turn worksheets into CSVs!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dimension ref="A1"/>
  <sheetViews>
    <sheetView showGridLines="0" workbookViewId="0">
      <selection activeCell="G10" sqref="G10"/>
    </sheetView>
  </sheetViews>
  <sheetFormatPr baseColWidth="10" defaultRowHeight="12" x14ac:dyDescent="0"/>
  <sheetData/>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aveWorksheetsAsCsv">
                <anchor moveWithCells="1" sizeWithCells="1">
                  <from>
                    <xdr:col>0</xdr:col>
                    <xdr:colOff>317500</xdr:colOff>
                    <xdr:row>1</xdr:row>
                    <xdr:rowOff>88900</xdr:rowOff>
                  </from>
                  <to>
                    <xdr:col>4</xdr:col>
                    <xdr:colOff>355600</xdr:colOff>
                    <xdr:row>7</xdr:row>
                    <xdr:rowOff>114300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B4"/>
  <sheetViews>
    <sheetView tabSelected="1" workbookViewId="0">
      <selection activeCell="B1" sqref="A1:B1048576"/>
    </sheetView>
  </sheetViews>
  <sheetFormatPr baseColWidth="10" defaultRowHeight="12" x14ac:dyDescent="0"/>
  <cols>
    <col min="1" max="1" width="22.1640625" style="6" bestFit="1" customWidth="1"/>
    <col min="2" max="2" width="121.1640625" style="6" customWidth="1"/>
  </cols>
  <sheetData>
    <row r="1" spans="1:2">
      <c r="A1" s="6" t="s">
        <v>97</v>
      </c>
      <c r="B1" s="6" t="s">
        <v>101</v>
      </c>
    </row>
    <row r="2" spans="1:2">
      <c r="A2" s="6" t="s">
        <v>98</v>
      </c>
      <c r="B2" s="6" t="s">
        <v>102</v>
      </c>
    </row>
    <row r="3" spans="1:2">
      <c r="A3" s="6" t="s">
        <v>99</v>
      </c>
      <c r="B3" s="6" t="s">
        <v>100</v>
      </c>
    </row>
    <row r="4" spans="1:2">
      <c r="A4" s="6" t="s">
        <v>116</v>
      </c>
      <c r="B4" s="6">
        <v>18</v>
      </c>
    </row>
  </sheetData>
  <pageMargins left="0.75" right="0.75" top="1" bottom="1" header="0.5" footer="0.5"/>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B8"/>
  <sheetViews>
    <sheetView zoomScale="75" zoomScaleNormal="75" zoomScalePageLayoutView="75" workbookViewId="0">
      <selection activeCell="A9" sqref="A9"/>
    </sheetView>
  </sheetViews>
  <sheetFormatPr baseColWidth="10" defaultColWidth="11.5" defaultRowHeight="12" x14ac:dyDescent="0"/>
  <cols>
    <col min="1" max="1" width="26.83203125" style="1" customWidth="1"/>
    <col min="2" max="2" width="115" style="1" customWidth="1"/>
    <col min="3" max="16384" width="11.5" style="1"/>
  </cols>
  <sheetData>
    <row r="1" spans="1:2">
      <c r="A1" s="1" t="s">
        <v>0</v>
      </c>
      <c r="B1" s="2" t="s">
        <v>1</v>
      </c>
    </row>
    <row r="2" spans="1:2">
      <c r="A2" s="1" t="s">
        <v>0</v>
      </c>
      <c r="B2" s="1" t="s">
        <v>2</v>
      </c>
    </row>
    <row r="3" spans="1:2">
      <c r="A3" s="1" t="s">
        <v>3</v>
      </c>
      <c r="B3" s="2" t="s">
        <v>4</v>
      </c>
    </row>
    <row r="4" spans="1:2">
      <c r="A4" s="1" t="s">
        <v>5</v>
      </c>
      <c r="B4" s="3" t="s">
        <v>6</v>
      </c>
    </row>
    <row r="5" spans="1:2">
      <c r="A5" s="1" t="s">
        <v>5</v>
      </c>
      <c r="B5" s="2" t="s">
        <v>7</v>
      </c>
    </row>
    <row r="6" spans="1:2">
      <c r="A6" s="1" t="s">
        <v>8</v>
      </c>
      <c r="B6" s="1">
        <v>3</v>
      </c>
    </row>
    <row r="7" spans="1:2">
      <c r="A7" s="1" t="s">
        <v>9</v>
      </c>
      <c r="B7" s="1">
        <v>1</v>
      </c>
    </row>
    <row r="8" spans="1:2">
      <c r="A8" s="4" t="s">
        <v>73</v>
      </c>
      <c r="B8" s="1" t="s">
        <v>75</v>
      </c>
    </row>
  </sheetData>
  <sheetProtection selectLockedCells="1" selectUnlockedCells="1"/>
  <pageMargins left="0.78749999999999998" right="0.78749999999999998" top="1.0249999999999999" bottom="1.0249999999999999" header="0.78749999999999998" footer="0.78749999999999998"/>
  <pageSetup paperSize="9" orientation="portrait" useFirstPageNumber="1" horizontalDpi="300" verticalDpi="300"/>
  <headerFooter>
    <oddHeader>&amp;C&amp;A</oddHeader>
    <oddFooter>&amp;CPage &amp;P</oddFooter>
  </headerFooter>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L9"/>
  <sheetViews>
    <sheetView topLeftCell="C1" zoomScale="75" zoomScaleNormal="75" zoomScalePageLayoutView="75" workbookViewId="0">
      <selection activeCell="M2" sqref="M2"/>
    </sheetView>
  </sheetViews>
  <sheetFormatPr baseColWidth="10" defaultColWidth="11.5" defaultRowHeight="12" x14ac:dyDescent="0"/>
  <sheetData>
    <row r="1" spans="1:12">
      <c r="A1" t="s">
        <v>10</v>
      </c>
      <c r="B1" t="s">
        <v>11</v>
      </c>
      <c r="C1" t="s">
        <v>12</v>
      </c>
      <c r="D1" t="s">
        <v>13</v>
      </c>
      <c r="E1" t="s">
        <v>14</v>
      </c>
      <c r="F1" t="s">
        <v>15</v>
      </c>
      <c r="G1" t="s">
        <v>16</v>
      </c>
      <c r="H1" t="s">
        <v>17</v>
      </c>
      <c r="I1" t="s">
        <v>18</v>
      </c>
      <c r="J1" t="s">
        <v>19</v>
      </c>
      <c r="K1" t="s">
        <v>20</v>
      </c>
      <c r="L1" t="s">
        <v>71</v>
      </c>
    </row>
    <row r="2" spans="1:12">
      <c r="A2">
        <v>7</v>
      </c>
      <c r="B2" t="s">
        <v>21</v>
      </c>
      <c r="C2" t="s">
        <v>22</v>
      </c>
      <c r="D2">
        <v>60</v>
      </c>
      <c r="E2" t="s">
        <v>23</v>
      </c>
      <c r="F2">
        <v>50</v>
      </c>
      <c r="G2" t="s">
        <v>24</v>
      </c>
      <c r="H2">
        <v>91</v>
      </c>
      <c r="I2">
        <f t="shared" ref="I2:I9" si="0">H2+F2+D2</f>
        <v>201</v>
      </c>
      <c r="J2">
        <f t="shared" ref="J2:J9" si="1">AVERAGE(H2,F2,D2)</f>
        <v>67</v>
      </c>
      <c r="K2">
        <f t="shared" ref="K2:K9" si="2">I2</f>
        <v>201</v>
      </c>
      <c r="L2">
        <f>I2</f>
        <v>201</v>
      </c>
    </row>
    <row r="3" spans="1:12">
      <c r="A3">
        <v>8</v>
      </c>
      <c r="B3" t="s">
        <v>25</v>
      </c>
      <c r="C3" t="s">
        <v>26</v>
      </c>
      <c r="D3">
        <v>70</v>
      </c>
      <c r="E3" t="s">
        <v>27</v>
      </c>
      <c r="F3">
        <v>60</v>
      </c>
      <c r="G3" t="s">
        <v>28</v>
      </c>
      <c r="H3">
        <v>92</v>
      </c>
      <c r="I3">
        <f t="shared" si="0"/>
        <v>222</v>
      </c>
      <c r="J3">
        <f t="shared" si="1"/>
        <v>74</v>
      </c>
      <c r="K3">
        <f t="shared" si="2"/>
        <v>222</v>
      </c>
      <c r="L3">
        <f t="shared" ref="L3:L9" si="3">I3</f>
        <v>222</v>
      </c>
    </row>
    <row r="4" spans="1:12">
      <c r="A4">
        <v>9</v>
      </c>
      <c r="B4" t="s">
        <v>29</v>
      </c>
      <c r="C4" t="s">
        <v>30</v>
      </c>
      <c r="D4">
        <v>80</v>
      </c>
      <c r="E4" t="s">
        <v>31</v>
      </c>
      <c r="F4">
        <v>70</v>
      </c>
      <c r="G4" t="s">
        <v>32</v>
      </c>
      <c r="H4">
        <v>81</v>
      </c>
      <c r="I4">
        <f t="shared" si="0"/>
        <v>231</v>
      </c>
      <c r="J4">
        <f t="shared" si="1"/>
        <v>77</v>
      </c>
      <c r="K4">
        <f t="shared" si="2"/>
        <v>231</v>
      </c>
      <c r="L4">
        <f t="shared" si="3"/>
        <v>231</v>
      </c>
    </row>
    <row r="5" spans="1:12">
      <c r="A5">
        <v>10</v>
      </c>
      <c r="B5" t="s">
        <v>33</v>
      </c>
      <c r="C5" t="s">
        <v>34</v>
      </c>
      <c r="D5">
        <v>60</v>
      </c>
      <c r="E5" t="s">
        <v>35</v>
      </c>
      <c r="F5">
        <v>45</v>
      </c>
      <c r="G5" t="s">
        <v>36</v>
      </c>
      <c r="H5">
        <v>87</v>
      </c>
      <c r="I5">
        <f t="shared" si="0"/>
        <v>192</v>
      </c>
      <c r="J5">
        <f t="shared" si="1"/>
        <v>64</v>
      </c>
      <c r="K5">
        <f t="shared" si="2"/>
        <v>192</v>
      </c>
      <c r="L5">
        <f t="shared" si="3"/>
        <v>192</v>
      </c>
    </row>
    <row r="6" spans="1:12">
      <c r="A6">
        <v>11</v>
      </c>
      <c r="B6" t="s">
        <v>37</v>
      </c>
      <c r="C6" t="s">
        <v>38</v>
      </c>
      <c r="D6">
        <v>75</v>
      </c>
      <c r="E6" t="s">
        <v>39</v>
      </c>
      <c r="F6">
        <v>46</v>
      </c>
      <c r="G6" t="s">
        <v>35</v>
      </c>
      <c r="H6">
        <v>98</v>
      </c>
      <c r="I6">
        <f t="shared" si="0"/>
        <v>219</v>
      </c>
      <c r="J6">
        <f t="shared" si="1"/>
        <v>73</v>
      </c>
      <c r="K6">
        <f t="shared" si="2"/>
        <v>219</v>
      </c>
      <c r="L6">
        <f t="shared" si="3"/>
        <v>219</v>
      </c>
    </row>
    <row r="7" spans="1:12">
      <c r="A7">
        <v>10</v>
      </c>
      <c r="B7" t="s">
        <v>40</v>
      </c>
      <c r="C7" t="s">
        <v>41</v>
      </c>
      <c r="D7">
        <v>77</v>
      </c>
      <c r="E7" t="s">
        <v>42</v>
      </c>
      <c r="F7">
        <v>47</v>
      </c>
      <c r="G7" t="s">
        <v>43</v>
      </c>
      <c r="H7">
        <v>98</v>
      </c>
      <c r="I7">
        <f t="shared" si="0"/>
        <v>222</v>
      </c>
      <c r="J7">
        <f t="shared" si="1"/>
        <v>74</v>
      </c>
      <c r="K7">
        <f t="shared" si="2"/>
        <v>222</v>
      </c>
      <c r="L7">
        <f t="shared" si="3"/>
        <v>222</v>
      </c>
    </row>
    <row r="8" spans="1:12">
      <c r="A8">
        <v>9</v>
      </c>
      <c r="B8" t="s">
        <v>21</v>
      </c>
      <c r="C8" t="s">
        <v>44</v>
      </c>
      <c r="D8">
        <v>79</v>
      </c>
      <c r="E8" t="s">
        <v>45</v>
      </c>
      <c r="F8">
        <v>48</v>
      </c>
      <c r="G8" t="s">
        <v>46</v>
      </c>
      <c r="H8">
        <v>80</v>
      </c>
      <c r="I8">
        <f t="shared" si="0"/>
        <v>207</v>
      </c>
      <c r="J8">
        <f t="shared" si="1"/>
        <v>69</v>
      </c>
      <c r="K8">
        <f t="shared" si="2"/>
        <v>207</v>
      </c>
      <c r="L8">
        <f t="shared" si="3"/>
        <v>207</v>
      </c>
    </row>
    <row r="9" spans="1:12">
      <c r="A9">
        <v>8</v>
      </c>
      <c r="B9" t="s">
        <v>47</v>
      </c>
      <c r="C9" t="s">
        <v>48</v>
      </c>
      <c r="D9">
        <v>18</v>
      </c>
      <c r="E9" t="s">
        <v>49</v>
      </c>
      <c r="F9">
        <v>49</v>
      </c>
      <c r="G9" t="s">
        <v>50</v>
      </c>
      <c r="H9">
        <v>68</v>
      </c>
      <c r="I9">
        <f t="shared" si="0"/>
        <v>135</v>
      </c>
      <c r="J9">
        <f t="shared" si="1"/>
        <v>45</v>
      </c>
      <c r="K9">
        <f t="shared" si="2"/>
        <v>135</v>
      </c>
      <c r="L9">
        <f t="shared" si="3"/>
        <v>135</v>
      </c>
    </row>
  </sheetData>
  <sheetProtection selectLockedCells="1" selectUnlockedCells="1"/>
  <pageMargins left="0.78749999999999998" right="0.78749999999999998" top="1.0249999999999999" bottom="1.0249999999999999" header="0.78749999999999998" footer="0.78749999999999998"/>
  <pageSetup paperSize="9" orientation="portrait" horizontalDpi="300" verticalDpi="300"/>
  <headerFooter>
    <oddHeader>&amp;C&amp;A</oddHeader>
    <oddFooter>&amp;CPage &amp;P</oddFooter>
  </headerFooter>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B12"/>
  <sheetViews>
    <sheetView zoomScaleNormal="75" zoomScalePageLayoutView="75" workbookViewId="0">
      <selection sqref="A1:B12"/>
    </sheetView>
  </sheetViews>
  <sheetFormatPr baseColWidth="10" defaultColWidth="11.5" defaultRowHeight="12" x14ac:dyDescent="0"/>
  <cols>
    <col min="1" max="1" width="26.83203125" style="1" customWidth="1"/>
    <col min="2" max="2" width="115" style="1" customWidth="1"/>
    <col min="3" max="16384" width="11.5" style="1"/>
  </cols>
  <sheetData>
    <row r="1" spans="1:2">
      <c r="A1" s="1" t="s">
        <v>0</v>
      </c>
      <c r="B1" s="5" t="s">
        <v>76</v>
      </c>
    </row>
    <row r="2" spans="1:2">
      <c r="A2" s="1" t="s">
        <v>0</v>
      </c>
      <c r="B2" s="1" t="s">
        <v>77</v>
      </c>
    </row>
    <row r="3" spans="1:2">
      <c r="A3" s="1" t="s">
        <v>3</v>
      </c>
      <c r="B3" s="5" t="s">
        <v>78</v>
      </c>
    </row>
    <row r="4" spans="1:2">
      <c r="A4" s="1" t="s">
        <v>5</v>
      </c>
      <c r="B4" s="1" t="s">
        <v>79</v>
      </c>
    </row>
    <row r="5" spans="1:2" ht="24">
      <c r="A5" s="1" t="s">
        <v>5</v>
      </c>
      <c r="B5" s="5" t="s">
        <v>80</v>
      </c>
    </row>
    <row r="6" spans="1:2">
      <c r="A6" s="1" t="s">
        <v>8</v>
      </c>
      <c r="B6" s="1">
        <v>3</v>
      </c>
    </row>
    <row r="7" spans="1:2">
      <c r="A7" s="1" t="s">
        <v>9</v>
      </c>
      <c r="B7" s="1">
        <v>1</v>
      </c>
    </row>
    <row r="8" spans="1:2">
      <c r="A8" s="1" t="s">
        <v>73</v>
      </c>
      <c r="B8" s="1" t="s">
        <v>81</v>
      </c>
    </row>
    <row r="9" spans="1:2">
      <c r="A9" s="1" t="s">
        <v>82</v>
      </c>
      <c r="B9" s="1" t="s">
        <v>83</v>
      </c>
    </row>
    <row r="10" spans="1:2">
      <c r="A10" s="1" t="s">
        <v>84</v>
      </c>
      <c r="B10" s="1" t="s">
        <v>85</v>
      </c>
    </row>
    <row r="11" spans="1:2">
      <c r="A11" s="1" t="s">
        <v>86</v>
      </c>
      <c r="B11" s="1" t="s">
        <v>83</v>
      </c>
    </row>
    <row r="12" spans="1:2">
      <c r="A12" s="1" t="s">
        <v>87</v>
      </c>
      <c r="B12" s="1" t="s">
        <v>85</v>
      </c>
    </row>
  </sheetData>
  <pageMargins left="0.78749999999999998" right="0.78749999999999998" top="1.0249999999999999" bottom="1.0249999999999999" header="0.78749999999999998" footer="0.78749999999999998"/>
  <pageSetup paperSize="9" orientation="portrait" useFirstPageNumber="1" horizontalDpi="300" verticalDpi="300"/>
  <headerFooter>
    <oddHeader>&amp;C&amp;A</oddHeader>
    <oddFooter>&amp;CPage &amp;P</oddFooter>
  </headerFooter>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J9"/>
  <sheetViews>
    <sheetView zoomScale="125" zoomScaleNormal="125" zoomScalePageLayoutView="125" workbookViewId="0">
      <selection activeCell="F5" sqref="F5"/>
    </sheetView>
  </sheetViews>
  <sheetFormatPr baseColWidth="10" defaultColWidth="11.5" defaultRowHeight="12" x14ac:dyDescent="0"/>
  <sheetData>
    <row r="1" spans="1:10">
      <c r="A1" t="s">
        <v>10</v>
      </c>
      <c r="B1" t="s">
        <v>11</v>
      </c>
      <c r="C1" t="s">
        <v>12</v>
      </c>
      <c r="D1" t="s">
        <v>19</v>
      </c>
      <c r="E1" t="s">
        <v>20</v>
      </c>
      <c r="F1" t="s">
        <v>71</v>
      </c>
      <c r="G1" t="s">
        <v>72</v>
      </c>
      <c r="H1" t="s">
        <v>88</v>
      </c>
      <c r="I1" t="s">
        <v>89</v>
      </c>
      <c r="J1" t="s">
        <v>90</v>
      </c>
    </row>
    <row r="2" spans="1:10">
      <c r="A2" t="s">
        <v>91</v>
      </c>
      <c r="B2">
        <v>5</v>
      </c>
      <c r="C2">
        <v>30</v>
      </c>
      <c r="D2">
        <f>ROUND(B2*SIN((C2*PI())/180),1)</f>
        <v>2.5</v>
      </c>
      <c r="E2" t="s">
        <v>92</v>
      </c>
      <c r="F2">
        <f>ROUND(SIN(((C2*PI())/180)*B2),1)</f>
        <v>0.5</v>
      </c>
      <c r="G2">
        <f>ROUND(($B2*COS(($C2*PI())/180)),1)</f>
        <v>4.3</v>
      </c>
      <c r="H2">
        <f>ROUND(($B2*TAN(($C2*PI())/180)),1)</f>
        <v>2.9</v>
      </c>
      <c r="I2" t="str">
        <f>"cos"</f>
        <v>cos</v>
      </c>
      <c r="J2" t="str">
        <f>"tan"</f>
        <v>tan</v>
      </c>
    </row>
    <row r="3" spans="1:10">
      <c r="A3" t="s">
        <v>93</v>
      </c>
      <c r="B3">
        <v>4</v>
      </c>
      <c r="C3">
        <v>60</v>
      </c>
      <c r="D3">
        <f t="shared" ref="D3:D9" si="0">ROUND(B3*SIN((C3*PI())/180),1)</f>
        <v>3.5</v>
      </c>
      <c r="E3" t="s">
        <v>92</v>
      </c>
      <c r="F3">
        <f t="shared" ref="F3:F9" si="1">ROUND(SIN(((C3*PI())/180)*B3),1)</f>
        <v>-0.9</v>
      </c>
      <c r="G3">
        <f t="shared" ref="G3:G9" si="2">ROUND(($B3*COS(($C3*PI())/180)),1)</f>
        <v>2</v>
      </c>
      <c r="H3">
        <f t="shared" ref="H3:H9" si="3">ROUND(($B3*TAN(($C3*PI())/180)),1)</f>
        <v>6.9</v>
      </c>
      <c r="I3" t="str">
        <f t="shared" ref="I3:I9" si="4">"cos"</f>
        <v>cos</v>
      </c>
      <c r="J3" t="str">
        <f t="shared" ref="J3:J9" si="5">"tan"</f>
        <v>tan</v>
      </c>
    </row>
    <row r="4" spans="1:10">
      <c r="A4" t="s">
        <v>91</v>
      </c>
      <c r="B4">
        <v>8</v>
      </c>
      <c r="C4">
        <v>25</v>
      </c>
      <c r="D4">
        <f t="shared" si="0"/>
        <v>3.4</v>
      </c>
      <c r="E4" t="s">
        <v>92</v>
      </c>
      <c r="F4">
        <f t="shared" si="1"/>
        <v>-0.3</v>
      </c>
      <c r="G4">
        <f t="shared" si="2"/>
        <v>7.3</v>
      </c>
      <c r="H4">
        <f t="shared" si="3"/>
        <v>3.7</v>
      </c>
      <c r="I4" t="str">
        <f t="shared" si="4"/>
        <v>cos</v>
      </c>
      <c r="J4" t="str">
        <f t="shared" si="5"/>
        <v>tan</v>
      </c>
    </row>
    <row r="5" spans="1:10">
      <c r="A5" t="s">
        <v>93</v>
      </c>
      <c r="B5">
        <v>10</v>
      </c>
      <c r="C5">
        <v>40</v>
      </c>
      <c r="D5">
        <f t="shared" si="0"/>
        <v>6.4</v>
      </c>
      <c r="E5" t="s">
        <v>92</v>
      </c>
      <c r="F5">
        <f t="shared" si="1"/>
        <v>0.6</v>
      </c>
      <c r="G5">
        <f t="shared" si="2"/>
        <v>7.7</v>
      </c>
      <c r="H5">
        <f t="shared" si="3"/>
        <v>8.4</v>
      </c>
      <c r="I5" t="str">
        <f t="shared" si="4"/>
        <v>cos</v>
      </c>
      <c r="J5" t="str">
        <f t="shared" si="5"/>
        <v>tan</v>
      </c>
    </row>
    <row r="6" spans="1:10">
      <c r="A6" t="s">
        <v>94</v>
      </c>
      <c r="B6">
        <v>11</v>
      </c>
      <c r="C6">
        <v>50</v>
      </c>
      <c r="D6">
        <f t="shared" si="0"/>
        <v>8.4</v>
      </c>
      <c r="E6" t="s">
        <v>92</v>
      </c>
      <c r="F6">
        <f t="shared" si="1"/>
        <v>-0.2</v>
      </c>
      <c r="G6">
        <f t="shared" si="2"/>
        <v>7.1</v>
      </c>
      <c r="H6">
        <f t="shared" si="3"/>
        <v>13.1</v>
      </c>
      <c r="I6" t="str">
        <f t="shared" si="4"/>
        <v>cos</v>
      </c>
      <c r="J6" t="str">
        <f t="shared" si="5"/>
        <v>tan</v>
      </c>
    </row>
    <row r="7" spans="1:10">
      <c r="A7" t="s">
        <v>95</v>
      </c>
      <c r="B7">
        <v>5</v>
      </c>
      <c r="C7">
        <v>20</v>
      </c>
      <c r="D7">
        <f t="shared" si="0"/>
        <v>1.7</v>
      </c>
      <c r="E7" t="s">
        <v>92</v>
      </c>
      <c r="F7">
        <f t="shared" si="1"/>
        <v>1</v>
      </c>
      <c r="G7">
        <f t="shared" si="2"/>
        <v>4.7</v>
      </c>
      <c r="H7">
        <f t="shared" si="3"/>
        <v>1.8</v>
      </c>
      <c r="I7" t="str">
        <f t="shared" si="4"/>
        <v>cos</v>
      </c>
      <c r="J7" t="str">
        <f t="shared" si="5"/>
        <v>tan</v>
      </c>
    </row>
    <row r="8" spans="1:10">
      <c r="A8" t="s">
        <v>96</v>
      </c>
      <c r="B8">
        <v>7</v>
      </c>
      <c r="C8">
        <v>25</v>
      </c>
      <c r="D8">
        <f t="shared" si="0"/>
        <v>3</v>
      </c>
      <c r="E8" t="s">
        <v>92</v>
      </c>
      <c r="F8">
        <f t="shared" si="1"/>
        <v>0.1</v>
      </c>
      <c r="G8">
        <f t="shared" si="2"/>
        <v>6.3</v>
      </c>
      <c r="H8">
        <f t="shared" si="3"/>
        <v>3.3</v>
      </c>
      <c r="I8" t="str">
        <f t="shared" si="4"/>
        <v>cos</v>
      </c>
      <c r="J8" t="str">
        <f t="shared" si="5"/>
        <v>tan</v>
      </c>
    </row>
    <row r="9" spans="1:10">
      <c r="A9" t="s">
        <v>91</v>
      </c>
      <c r="B9">
        <v>12</v>
      </c>
      <c r="C9">
        <v>55</v>
      </c>
      <c r="D9">
        <f t="shared" si="0"/>
        <v>9.8000000000000007</v>
      </c>
      <c r="E9" t="s">
        <v>92</v>
      </c>
      <c r="F9">
        <f t="shared" si="1"/>
        <v>-0.9</v>
      </c>
      <c r="G9">
        <f t="shared" si="2"/>
        <v>6.9</v>
      </c>
      <c r="H9">
        <f t="shared" si="3"/>
        <v>17.100000000000001</v>
      </c>
      <c r="I9" t="str">
        <f t="shared" si="4"/>
        <v>cos</v>
      </c>
      <c r="J9" t="str">
        <f t="shared" si="5"/>
        <v>tan</v>
      </c>
    </row>
  </sheetData>
  <pageMargins left="0.78749999999999998" right="0.78749999999999998" top="1.0249999999999999" bottom="1.0249999999999999" header="0.78749999999999998" footer="0.78749999999999998"/>
  <pageSetup paperSize="9" orientation="portrait" horizontalDpi="300" verticalDpi="300"/>
  <headerFooter>
    <oddHeader>&amp;C&amp;A</oddHeader>
    <oddFooter>&amp;CPage &amp;P</oddFooter>
  </headerFooter>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B14"/>
  <sheetViews>
    <sheetView zoomScale="125" zoomScaleNormal="125" zoomScalePageLayoutView="125" workbookViewId="0">
      <selection activeCell="B22" sqref="B22"/>
    </sheetView>
  </sheetViews>
  <sheetFormatPr baseColWidth="10" defaultColWidth="11.5" defaultRowHeight="12" x14ac:dyDescent="0"/>
  <cols>
    <col min="1" max="1" width="26.83203125" style="1" customWidth="1"/>
    <col min="2" max="2" width="115" style="1" customWidth="1"/>
    <col min="3" max="16384" width="11.5" style="1"/>
  </cols>
  <sheetData>
    <row r="1" spans="1:2">
      <c r="A1" s="1" t="s">
        <v>0</v>
      </c>
      <c r="B1" s="2" t="s">
        <v>107</v>
      </c>
    </row>
    <row r="2" spans="1:2">
      <c r="A2" s="1" t="s">
        <v>0</v>
      </c>
      <c r="B2" s="2" t="s">
        <v>112</v>
      </c>
    </row>
    <row r="3" spans="1:2">
      <c r="A3" s="1" t="s">
        <v>0</v>
      </c>
      <c r="B3" s="2" t="s">
        <v>108</v>
      </c>
    </row>
    <row r="4" spans="1:2">
      <c r="A4" s="1" t="s">
        <v>0</v>
      </c>
      <c r="B4" s="1" t="s">
        <v>109</v>
      </c>
    </row>
    <row r="5" spans="1:2">
      <c r="A5" s="1" t="s">
        <v>3</v>
      </c>
      <c r="B5" s="2" t="s">
        <v>51</v>
      </c>
    </row>
    <row r="6" spans="1:2">
      <c r="A6" s="1" t="s">
        <v>5</v>
      </c>
      <c r="B6" s="3" t="s">
        <v>52</v>
      </c>
    </row>
    <row r="7" spans="1:2">
      <c r="A7" s="1" t="s">
        <v>5</v>
      </c>
      <c r="B7" s="2" t="s">
        <v>115</v>
      </c>
    </row>
    <row r="8" spans="1:2">
      <c r="A8" s="1" t="s">
        <v>8</v>
      </c>
      <c r="B8" s="1">
        <v>3</v>
      </c>
    </row>
    <row r="9" spans="1:2">
      <c r="A9" s="1" t="s">
        <v>9</v>
      </c>
      <c r="B9" s="1">
        <v>1</v>
      </c>
    </row>
    <row r="10" spans="1:2">
      <c r="A10" s="1" t="s">
        <v>67</v>
      </c>
      <c r="B10" t="s">
        <v>66</v>
      </c>
    </row>
    <row r="11" spans="1:2">
      <c r="A11" s="1" t="s">
        <v>68</v>
      </c>
      <c r="B11" s="1" t="s">
        <v>65</v>
      </c>
    </row>
    <row r="12" spans="1:2">
      <c r="A12" s="1" t="s">
        <v>73</v>
      </c>
      <c r="B12" s="1" t="s">
        <v>74</v>
      </c>
    </row>
    <row r="13" spans="1:2">
      <c r="A13" s="1" t="s">
        <v>103</v>
      </c>
      <c r="B13" s="1" t="s">
        <v>104</v>
      </c>
    </row>
    <row r="14" spans="1:2">
      <c r="A14" s="1" t="s">
        <v>105</v>
      </c>
      <c r="B14" s="1" t="s">
        <v>106</v>
      </c>
    </row>
  </sheetData>
  <sheetProtection selectLockedCells="1" selectUnlockedCells="1"/>
  <pageMargins left="0.78749999999999998" right="0.78749999999999998" top="1.0249999999999999" bottom="1.0249999999999999" header="0.78749999999999998" footer="0.78749999999999998"/>
  <pageSetup paperSize="9" orientation="portrait" horizontalDpi="300" verticalDpi="300"/>
  <headerFooter>
    <oddHeader>&amp;C&amp;A</oddHeader>
    <oddFooter>&amp;CPage &amp;P</oddFooter>
  </headerFooter>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O9"/>
  <sheetViews>
    <sheetView topLeftCell="E1" zoomScale="125" zoomScaleNormal="125" zoomScalePageLayoutView="125" workbookViewId="0">
      <selection activeCell="M10" sqref="M10"/>
    </sheetView>
  </sheetViews>
  <sheetFormatPr baseColWidth="10" defaultColWidth="11.5" defaultRowHeight="12" x14ac:dyDescent="0"/>
  <cols>
    <col min="8" max="8" width="19.6640625" customWidth="1"/>
    <col min="9" max="9" width="17.6640625" customWidth="1"/>
  </cols>
  <sheetData>
    <row r="1" spans="1:15">
      <c r="A1" t="s">
        <v>10</v>
      </c>
      <c r="B1" t="s">
        <v>11</v>
      </c>
      <c r="C1" t="s">
        <v>12</v>
      </c>
      <c r="D1" t="s">
        <v>13</v>
      </c>
      <c r="E1" t="s">
        <v>14</v>
      </c>
      <c r="F1" t="s">
        <v>15</v>
      </c>
      <c r="G1" t="s">
        <v>53</v>
      </c>
      <c r="H1" s="1" t="s">
        <v>69</v>
      </c>
      <c r="I1" s="1" t="s">
        <v>70</v>
      </c>
      <c r="J1" t="s">
        <v>19</v>
      </c>
      <c r="K1" s="1" t="s">
        <v>71</v>
      </c>
      <c r="L1" s="1" t="s">
        <v>110</v>
      </c>
      <c r="M1" s="1" t="s">
        <v>111</v>
      </c>
      <c r="N1" s="1" t="s">
        <v>113</v>
      </c>
      <c r="O1" s="1" t="s">
        <v>114</v>
      </c>
    </row>
    <row r="2" spans="1:15">
      <c r="A2">
        <v>6</v>
      </c>
      <c r="B2" t="s">
        <v>54</v>
      </c>
      <c r="C2">
        <v>3</v>
      </c>
      <c r="D2">
        <v>2</v>
      </c>
      <c r="E2" t="s">
        <v>55</v>
      </c>
      <c r="F2">
        <f t="shared" ref="F2:F9" si="0">J2</f>
        <v>3</v>
      </c>
      <c r="G2">
        <f t="shared" ref="G2:G9" si="1">A2-C2+D2</f>
        <v>5</v>
      </c>
      <c r="H2">
        <f t="shared" ref="H2:H9" si="2">A2+C2+D2</f>
        <v>11</v>
      </c>
      <c r="I2">
        <f t="shared" ref="I2:I9" si="3">A2-C2-D2</f>
        <v>1</v>
      </c>
      <c r="J2">
        <f t="shared" ref="J2:J9" si="4">A2-C2</f>
        <v>3</v>
      </c>
      <c r="K2">
        <f>A2+C2</f>
        <v>9</v>
      </c>
      <c r="L2">
        <f>$G2*0.99</f>
        <v>4.95</v>
      </c>
      <c r="M2">
        <f>$G2*1.01</f>
        <v>5.05</v>
      </c>
      <c r="N2">
        <f>J2*0.9</f>
        <v>2.7</v>
      </c>
      <c r="O2">
        <f>J2*1.1</f>
        <v>3.3000000000000003</v>
      </c>
    </row>
    <row r="3" spans="1:15">
      <c r="A3">
        <v>10</v>
      </c>
      <c r="B3" t="s">
        <v>56</v>
      </c>
      <c r="C3">
        <v>3</v>
      </c>
      <c r="D3">
        <v>7</v>
      </c>
      <c r="E3" t="s">
        <v>54</v>
      </c>
      <c r="F3">
        <f t="shared" si="0"/>
        <v>7</v>
      </c>
      <c r="G3">
        <f t="shared" si="1"/>
        <v>14</v>
      </c>
      <c r="H3">
        <f t="shared" si="2"/>
        <v>20</v>
      </c>
      <c r="I3">
        <f t="shared" si="3"/>
        <v>0</v>
      </c>
      <c r="J3">
        <f t="shared" si="4"/>
        <v>7</v>
      </c>
      <c r="K3">
        <f t="shared" ref="K3:K9" si="5">A3+C3</f>
        <v>13</v>
      </c>
      <c r="L3">
        <f t="shared" ref="L3:L9" si="6">$G3*0.99</f>
        <v>13.86</v>
      </c>
      <c r="M3">
        <f t="shared" ref="M3:M9" si="7">$G3*1.01</f>
        <v>14.14</v>
      </c>
      <c r="N3">
        <f t="shared" ref="N3:N9" si="8">J3*0.9</f>
        <v>6.3</v>
      </c>
      <c r="O3">
        <f t="shared" ref="O3:O9" si="9">J3*1.1</f>
        <v>7.7000000000000011</v>
      </c>
    </row>
    <row r="4" spans="1:15">
      <c r="A4">
        <v>15</v>
      </c>
      <c r="B4" t="s">
        <v>57</v>
      </c>
      <c r="C4">
        <v>5</v>
      </c>
      <c r="D4">
        <v>4</v>
      </c>
      <c r="E4" t="s">
        <v>58</v>
      </c>
      <c r="F4">
        <f t="shared" si="0"/>
        <v>10</v>
      </c>
      <c r="G4">
        <f t="shared" si="1"/>
        <v>14</v>
      </c>
      <c r="H4">
        <f t="shared" si="2"/>
        <v>24</v>
      </c>
      <c r="I4">
        <f t="shared" si="3"/>
        <v>6</v>
      </c>
      <c r="J4">
        <f t="shared" si="4"/>
        <v>10</v>
      </c>
      <c r="K4">
        <f t="shared" si="5"/>
        <v>20</v>
      </c>
      <c r="L4">
        <f t="shared" si="6"/>
        <v>13.86</v>
      </c>
      <c r="M4">
        <f t="shared" si="7"/>
        <v>14.14</v>
      </c>
      <c r="N4">
        <f t="shared" si="8"/>
        <v>9</v>
      </c>
      <c r="O4">
        <f t="shared" si="9"/>
        <v>11</v>
      </c>
    </row>
    <row r="5" spans="1:15">
      <c r="A5">
        <v>13</v>
      </c>
      <c r="B5" t="s">
        <v>59</v>
      </c>
      <c r="C5">
        <v>12</v>
      </c>
      <c r="D5">
        <v>2</v>
      </c>
      <c r="E5" t="s">
        <v>56</v>
      </c>
      <c r="F5">
        <f t="shared" si="0"/>
        <v>1</v>
      </c>
      <c r="G5">
        <f t="shared" si="1"/>
        <v>3</v>
      </c>
      <c r="H5">
        <f t="shared" si="2"/>
        <v>27</v>
      </c>
      <c r="I5">
        <f t="shared" si="3"/>
        <v>-1</v>
      </c>
      <c r="J5">
        <f t="shared" si="4"/>
        <v>1</v>
      </c>
      <c r="K5">
        <f t="shared" si="5"/>
        <v>25</v>
      </c>
      <c r="L5">
        <f t="shared" si="6"/>
        <v>2.9699999999999998</v>
      </c>
      <c r="M5">
        <f t="shared" si="7"/>
        <v>3.0300000000000002</v>
      </c>
      <c r="N5">
        <f t="shared" si="8"/>
        <v>0.9</v>
      </c>
      <c r="O5">
        <f t="shared" si="9"/>
        <v>1.1000000000000001</v>
      </c>
    </row>
    <row r="6" spans="1:15">
      <c r="A6">
        <v>40</v>
      </c>
      <c r="B6" t="s">
        <v>60</v>
      </c>
      <c r="C6">
        <v>14</v>
      </c>
      <c r="D6">
        <v>13</v>
      </c>
      <c r="E6" t="s">
        <v>57</v>
      </c>
      <c r="F6">
        <f t="shared" si="0"/>
        <v>26</v>
      </c>
      <c r="G6">
        <f t="shared" si="1"/>
        <v>39</v>
      </c>
      <c r="H6">
        <f t="shared" si="2"/>
        <v>67</v>
      </c>
      <c r="I6">
        <f t="shared" si="3"/>
        <v>13</v>
      </c>
      <c r="J6">
        <f t="shared" si="4"/>
        <v>26</v>
      </c>
      <c r="K6">
        <f t="shared" si="5"/>
        <v>54</v>
      </c>
      <c r="L6">
        <f t="shared" si="6"/>
        <v>38.61</v>
      </c>
      <c r="M6">
        <f t="shared" si="7"/>
        <v>39.39</v>
      </c>
      <c r="N6">
        <f t="shared" si="8"/>
        <v>23.400000000000002</v>
      </c>
      <c r="O6">
        <f t="shared" si="9"/>
        <v>28.6</v>
      </c>
    </row>
    <row r="7" spans="1:15">
      <c r="A7">
        <v>12</v>
      </c>
      <c r="B7" t="s">
        <v>61</v>
      </c>
      <c r="C7">
        <v>2</v>
      </c>
      <c r="D7">
        <v>22</v>
      </c>
      <c r="E7" t="s">
        <v>59</v>
      </c>
      <c r="F7">
        <f t="shared" si="0"/>
        <v>10</v>
      </c>
      <c r="G7">
        <f t="shared" si="1"/>
        <v>32</v>
      </c>
      <c r="H7">
        <f t="shared" si="2"/>
        <v>36</v>
      </c>
      <c r="I7">
        <f t="shared" si="3"/>
        <v>-12</v>
      </c>
      <c r="J7">
        <f t="shared" si="4"/>
        <v>10</v>
      </c>
      <c r="K7">
        <f t="shared" si="5"/>
        <v>14</v>
      </c>
      <c r="L7">
        <f t="shared" si="6"/>
        <v>31.68</v>
      </c>
      <c r="M7">
        <f t="shared" si="7"/>
        <v>32.32</v>
      </c>
      <c r="N7">
        <f t="shared" si="8"/>
        <v>9</v>
      </c>
      <c r="O7">
        <f t="shared" si="9"/>
        <v>11</v>
      </c>
    </row>
    <row r="8" spans="1:15">
      <c r="A8">
        <v>14</v>
      </c>
      <c r="B8" t="s">
        <v>62</v>
      </c>
      <c r="C8">
        <v>6</v>
      </c>
      <c r="D8">
        <v>5</v>
      </c>
      <c r="E8" t="s">
        <v>60</v>
      </c>
      <c r="F8">
        <f t="shared" si="0"/>
        <v>8</v>
      </c>
      <c r="G8">
        <f t="shared" si="1"/>
        <v>13</v>
      </c>
      <c r="H8">
        <f t="shared" si="2"/>
        <v>25</v>
      </c>
      <c r="I8">
        <f t="shared" si="3"/>
        <v>3</v>
      </c>
      <c r="J8">
        <f t="shared" si="4"/>
        <v>8</v>
      </c>
      <c r="K8">
        <f t="shared" si="5"/>
        <v>20</v>
      </c>
      <c r="L8">
        <f t="shared" si="6"/>
        <v>12.87</v>
      </c>
      <c r="M8">
        <f t="shared" si="7"/>
        <v>13.13</v>
      </c>
      <c r="N8">
        <f t="shared" si="8"/>
        <v>7.2</v>
      </c>
      <c r="O8">
        <f t="shared" si="9"/>
        <v>8.8000000000000007</v>
      </c>
    </row>
    <row r="9" spans="1:15">
      <c r="A9">
        <v>80</v>
      </c>
      <c r="B9" t="s">
        <v>63</v>
      </c>
      <c r="C9">
        <v>78</v>
      </c>
      <c r="D9">
        <v>4</v>
      </c>
      <c r="E9" t="s">
        <v>64</v>
      </c>
      <c r="F9">
        <f t="shared" si="0"/>
        <v>2</v>
      </c>
      <c r="G9">
        <f t="shared" si="1"/>
        <v>6</v>
      </c>
      <c r="H9">
        <f t="shared" si="2"/>
        <v>162</v>
      </c>
      <c r="I9">
        <f t="shared" si="3"/>
        <v>-2</v>
      </c>
      <c r="J9">
        <f t="shared" si="4"/>
        <v>2</v>
      </c>
      <c r="K9">
        <f t="shared" si="5"/>
        <v>158</v>
      </c>
      <c r="L9">
        <f t="shared" si="6"/>
        <v>5.9399999999999995</v>
      </c>
      <c r="M9">
        <f t="shared" si="7"/>
        <v>6.0600000000000005</v>
      </c>
      <c r="N9">
        <f t="shared" si="8"/>
        <v>1.8</v>
      </c>
      <c r="O9">
        <f t="shared" si="9"/>
        <v>2.2000000000000002</v>
      </c>
    </row>
  </sheetData>
  <sheetProtection selectLockedCells="1" selectUnlockedCells="1"/>
  <pageMargins left="0.78749999999999998" right="0.78749999999999998" top="1.0249999999999999" bottom="1.0249999999999999" header="0.78749999999999998" footer="0.78749999999999998"/>
  <pageSetup paperSize="9" orientation="portrait" horizontalDpi="300" verticalDpi="300"/>
  <headerFooter>
    <oddHeader>&amp;C&amp;A</oddHeader>
    <oddFooter>&amp;CPage &amp;P</oddFooter>
  </headerFooter>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GO</vt:lpstr>
      <vt:lpstr>exercise_info.csv</vt:lpstr>
      <vt:lpstr>skeletons_04.csv</vt:lpstr>
      <vt:lpstr>variables_04.csv</vt:lpstr>
      <vt:lpstr>skeletons_02.csv</vt:lpstr>
      <vt:lpstr>variables_02.csv</vt:lpstr>
      <vt:lpstr>skeletons_01.csv</vt:lpstr>
      <vt:lpstr>variables_01.csv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David Abelman</cp:lastModifiedBy>
  <dcterms:created xsi:type="dcterms:W3CDTF">2016-01-11T19:40:06Z</dcterms:created>
  <dcterms:modified xsi:type="dcterms:W3CDTF">2016-01-24T11:27:41Z</dcterms:modified>
</cp:coreProperties>
</file>