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519" codeName="{00000000-0000-0000-0000-000000000000}"/>
  <workbookPr showInkAnnotation="0" codeName="ThisWorkbook" autoCompressPictures="0"/>
  <bookViews>
    <workbookView xWindow="560" yWindow="840" windowWidth="27200" windowHeight="14980" tabRatio="520"/>
  </bookViews>
  <sheets>
    <sheet name="GO" sheetId="8" r:id="rId1"/>
    <sheet name="exercise_info.csv" sheetId="7" r:id="rId2"/>
    <sheet name="skeletons_02.csv" sheetId="9" r:id="rId3"/>
    <sheet name="variables_02.csv" sheetId="10" r:id="rId4"/>
    <sheet name="skeletons_01.csv" sheetId="3" r:id="rId5"/>
    <sheet name="variables_01.csv" sheetId="4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" i="10" l="1"/>
  <c r="L9" i="10"/>
  <c r="K9" i="10"/>
  <c r="I9" i="10"/>
  <c r="H9" i="10"/>
  <c r="G9" i="10"/>
  <c r="F9" i="10"/>
  <c r="E9" i="10"/>
  <c r="D9" i="10"/>
  <c r="C8" i="10"/>
  <c r="L8" i="10"/>
  <c r="K8" i="10"/>
  <c r="I8" i="10"/>
  <c r="H8" i="10"/>
  <c r="G8" i="10"/>
  <c r="F8" i="10"/>
  <c r="E8" i="10"/>
  <c r="D8" i="10"/>
  <c r="C7" i="10"/>
  <c r="L7" i="10"/>
  <c r="K7" i="10"/>
  <c r="I7" i="10"/>
  <c r="H7" i="10"/>
  <c r="G7" i="10"/>
  <c r="F7" i="10"/>
  <c r="E7" i="10"/>
  <c r="D7" i="10"/>
  <c r="C6" i="10"/>
  <c r="L6" i="10"/>
  <c r="K6" i="10"/>
  <c r="I6" i="10"/>
  <c r="H6" i="10"/>
  <c r="G6" i="10"/>
  <c r="F6" i="10"/>
  <c r="E6" i="10"/>
  <c r="D6" i="10"/>
  <c r="C5" i="10"/>
  <c r="L5" i="10"/>
  <c r="K5" i="10"/>
  <c r="I5" i="10"/>
  <c r="H5" i="10"/>
  <c r="G5" i="10"/>
  <c r="F5" i="10"/>
  <c r="E5" i="10"/>
  <c r="D5" i="10"/>
  <c r="C4" i="10"/>
  <c r="L4" i="10"/>
  <c r="K4" i="10"/>
  <c r="I4" i="10"/>
  <c r="H4" i="10"/>
  <c r="G4" i="10"/>
  <c r="F4" i="10"/>
  <c r="E4" i="10"/>
  <c r="D4" i="10"/>
  <c r="C3" i="10"/>
  <c r="L3" i="10"/>
  <c r="K3" i="10"/>
  <c r="I3" i="10"/>
  <c r="H3" i="10"/>
  <c r="G3" i="10"/>
  <c r="F3" i="10"/>
  <c r="E3" i="10"/>
  <c r="D3" i="10"/>
  <c r="C2" i="10"/>
  <c r="L2" i="10"/>
  <c r="K2" i="10"/>
  <c r="I2" i="10"/>
  <c r="H2" i="10"/>
  <c r="G2" i="10"/>
  <c r="F2" i="10"/>
  <c r="E2" i="10"/>
  <c r="D2" i="10"/>
  <c r="C9" i="4"/>
  <c r="L9" i="4"/>
  <c r="K9" i="4"/>
  <c r="C8" i="4"/>
  <c r="L8" i="4"/>
  <c r="K8" i="4"/>
  <c r="C7" i="4"/>
  <c r="L7" i="4"/>
  <c r="K7" i="4"/>
  <c r="C6" i="4"/>
  <c r="L6" i="4"/>
  <c r="K6" i="4"/>
  <c r="C5" i="4"/>
  <c r="L5" i="4"/>
  <c r="K5" i="4"/>
  <c r="C4" i="4"/>
  <c r="L4" i="4"/>
  <c r="K4" i="4"/>
  <c r="C3" i="4"/>
  <c r="L3" i="4"/>
  <c r="K3" i="4"/>
  <c r="C2" i="4"/>
  <c r="K2" i="4"/>
  <c r="I9" i="4"/>
  <c r="I8" i="4"/>
  <c r="I7" i="4"/>
  <c r="I6" i="4"/>
  <c r="I5" i="4"/>
  <c r="I4" i="4"/>
  <c r="I3" i="4"/>
  <c r="I2" i="4"/>
  <c r="H9" i="4"/>
  <c r="H8" i="4"/>
  <c r="H7" i="4"/>
  <c r="H6" i="4"/>
  <c r="H5" i="4"/>
  <c r="H4" i="4"/>
  <c r="H3" i="4"/>
  <c r="H2" i="4"/>
  <c r="G9" i="4"/>
  <c r="G8" i="4"/>
  <c r="G7" i="4"/>
  <c r="G6" i="4"/>
  <c r="G5" i="4"/>
  <c r="G4" i="4"/>
  <c r="G3" i="4"/>
  <c r="G2" i="4"/>
  <c r="F9" i="4"/>
  <c r="F8" i="4"/>
  <c r="F7" i="4"/>
  <c r="F6" i="4"/>
  <c r="F5" i="4"/>
  <c r="F4" i="4"/>
  <c r="F3" i="4"/>
  <c r="F2" i="4"/>
  <c r="E9" i="4"/>
  <c r="E8" i="4"/>
  <c r="E7" i="4"/>
  <c r="E6" i="4"/>
  <c r="E5" i="4"/>
  <c r="E4" i="4"/>
  <c r="E3" i="4"/>
  <c r="E2" i="4"/>
  <c r="D9" i="4"/>
  <c r="D8" i="4"/>
  <c r="D7" i="4"/>
  <c r="D6" i="4"/>
  <c r="D5" i="4"/>
  <c r="D4" i="4"/>
  <c r="D3" i="4"/>
  <c r="D2" i="4"/>
  <c r="L2" i="4"/>
</calcChain>
</file>

<file path=xl/sharedStrings.xml><?xml version="1.0" encoding="utf-8"?>
<sst xmlns="http://schemas.openxmlformats.org/spreadsheetml/2006/main" count="99" uniqueCount="49">
  <si>
    <t>question_text</t>
  </si>
  <si>
    <t>hint_text</t>
  </si>
  <si>
    <t>scaffold_text</t>
  </si>
  <si>
    <t>corrects_required</t>
  </si>
  <si>
    <t>worked_example_start</t>
  </si>
  <si>
    <t>var_1</t>
  </si>
  <si>
    <t>var_2</t>
  </si>
  <si>
    <t>ans_1</t>
  </si>
  <si>
    <t>ans_2</t>
  </si>
  <si>
    <t>ans_0</t>
  </si>
  <si>
    <t>ans_0_wrong_01_text</t>
  </si>
  <si>
    <t>ans_0_wrong_02_text</t>
  </si>
  <si>
    <t>ans_0_wrong_01</t>
  </si>
  <si>
    <t>ans_0_wrong_02</t>
  </si>
  <si>
    <t>exercise_name_unique</t>
  </si>
  <si>
    <t>exercise_title_visible</t>
  </si>
  <si>
    <t>exercise_description_visible</t>
  </si>
  <si>
    <t>ans_0_reveal</t>
  </si>
  <si>
    <t>ans_1_reveal</t>
  </si>
  <si>
    <t>ans_0_lower_limit</t>
  </si>
  <si>
    <t>ans_0_upper_limit</t>
  </si>
  <si>
    <t>question_attempts_required</t>
  </si>
  <si>
    <t>Here is a triangle with angles of {var_1} and {var_2}:</t>
  </si>
  <si>
    <t>How big is the angle marked 'X'?</t>
  </si>
  <si>
    <t>{ans_0} degrees</t>
  </si>
  <si>
    <t>Add up the angles we can see so far. Since the angles in a triangle add to 180 degrees, we can work out what the remaining angle must be.</t>
  </si>
  <si>
    <t>The first two angles ({var_1} and {var_2}) add up to {ans_1}.</t>
  </si>
  <si>
    <t>The angles in a triangle must add up to {ans_2} degrees.</t>
  </si>
  <si>
    <t>Therefore, the final angle must be 180-{var_1}-{var_2}={ans_0} degrees.</t>
  </si>
  <si>
    <t>ans_0_wrong_03</t>
  </si>
  <si>
    <t>ans_0_wrong_04</t>
  </si>
  <si>
    <t>ans_0_wrong_05</t>
  </si>
  <si>
    <t>Careful to subtract the angles from 180 degrees (it looks like you added them!)</t>
  </si>
  <si>
    <t>ans_0_wrong_03_text</t>
  </si>
  <si>
    <t>Careful to subtract the angles from 180 degrees (did you subtract from 18 degrees?)</t>
  </si>
  <si>
    <t>Careful to subtract the angles from 180 degrees (did you subtract from 200 degrees?)</t>
  </si>
  <si>
    <t>ans_0_wrong_04_text</t>
  </si>
  <si>
    <t>ans_0_wrong_05_text</t>
  </si>
  <si>
    <t>Careful to subtract both angles from 180 degrees (did you only subtract {var_1}?)</t>
  </si>
  <si>
    <t>Careful to subtract both angles from 180 degrees (did you only subtract {var_2}?)</t>
  </si>
  <si>
    <t>ans_2_reveal</t>
  </si>
  <si>
    <t>There are 180 degrees in a triangle.</t>
  </si>
  <si>
    <t>{var_1} + {var_2} = {ans_1}</t>
  </si>
  <si>
    <t>180 - {var_1} - {var_2} = {ans_0}</t>
  </si>
  <si>
    <t>How big is the angle marked 'Y'?</t>
  </si>
  <si>
    <t>angles180</t>
  </si>
  <si>
    <t>Angles in a triangle</t>
  </si>
  <si>
    <t>This exercise practices finding missing angles in a triangle</t>
  </si>
  <si>
    <t>{img1}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</si>
</sst>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/>
    </xf>
    <xf numFmtId="0" fontId="0" fillId="0" borderId="0" xfId="0" applyFont="1" applyAlignment="1">
      <alignment horizontal="left" wrapText="1"/>
    </xf>
    <xf numFmtId="0" fontId="0" fillId="0" borderId="0" xfId="0" applyFont="1" applyAlignment="1">
      <alignment horizontal="left"/>
    </xf>
    <xf numFmtId="0" fontId="0" fillId="0" borderId="0" xfId="0" applyAlignment="1">
      <alignment horizontal="center"/>
    </xf>
  </cellXfs>
  <cellStyles count="9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</xdr:row>
          <xdr:rowOff>88900</xdr:rowOff>
        </xdr:from>
        <xdr:to>
          <xdr:col>4</xdr:col>
          <xdr:colOff>355600</xdr:colOff>
          <xdr:row>7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Click to turn worksheets into CSVs!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showGridLines="0" tabSelected="1" workbookViewId="0">
      <selection activeCell="G10" sqref="G10"/>
    </sheetView>
  </sheetViews>
  <sheetFormatPr baseColWidth="10" defaultRowHeight="12" x14ac:dyDescent="0"/>
  <sheetData/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317500</xdr:colOff>
                    <xdr:row>1</xdr:row>
                    <xdr:rowOff>88900</xdr:rowOff>
                  </from>
                  <to>
                    <xdr:col>4</xdr:col>
                    <xdr:colOff>355600</xdr:colOff>
                    <xdr:row>7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4"/>
  <sheetViews>
    <sheetView workbookViewId="0">
      <selection activeCell="B4" sqref="B4"/>
    </sheetView>
  </sheetViews>
  <sheetFormatPr baseColWidth="10" defaultRowHeight="12" x14ac:dyDescent="0"/>
  <cols>
    <col min="1" max="1" width="22.1640625" style="4" bestFit="1" customWidth="1"/>
    <col min="2" max="2" width="121.1640625" style="4" customWidth="1"/>
  </cols>
  <sheetData>
    <row r="1" spans="1:2">
      <c r="A1" s="4" t="s">
        <v>14</v>
      </c>
      <c r="B1" s="4" t="s">
        <v>45</v>
      </c>
    </row>
    <row r="2" spans="1:2">
      <c r="A2" s="4" t="s">
        <v>15</v>
      </c>
      <c r="B2" s="4" t="s">
        <v>46</v>
      </c>
    </row>
    <row r="3" spans="1:2">
      <c r="A3" s="4" t="s">
        <v>16</v>
      </c>
      <c r="B3" s="4" t="s">
        <v>47</v>
      </c>
    </row>
    <row r="4" spans="1:2">
      <c r="A4" s="4" t="s">
        <v>21</v>
      </c>
      <c r="B4" s="4">
        <v>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8"/>
  <sheetViews>
    <sheetView zoomScale="125" zoomScaleNormal="125" zoomScalePageLayoutView="125" workbookViewId="0">
      <selection activeCell="B3" sqref="B3"/>
    </sheetView>
  </sheetViews>
  <sheetFormatPr baseColWidth="10" defaultColWidth="11.5" defaultRowHeight="12" x14ac:dyDescent="0"/>
  <cols>
    <col min="1" max="1" width="26.83203125" style="1" customWidth="1"/>
    <col min="2" max="2" width="115" style="1" customWidth="1"/>
    <col min="3" max="16384" width="11.5" style="1"/>
  </cols>
  <sheetData>
    <row r="1" spans="1:2">
      <c r="A1" s="1" t="s">
        <v>0</v>
      </c>
      <c r="B1" s="2" t="s">
        <v>22</v>
      </c>
    </row>
    <row r="2" spans="1:2">
      <c r="A2" s="1" t="s">
        <v>0</v>
      </c>
      <c r="B2" s="2" t="s">
        <v>48</v>
      </c>
    </row>
    <row r="3" spans="1:2">
      <c r="A3" s="1" t="s">
        <v>0</v>
      </c>
      <c r="B3" s="2" t="s">
        <v>44</v>
      </c>
    </row>
    <row r="4" spans="1:2">
      <c r="A4" s="1" t="s">
        <v>0</v>
      </c>
      <c r="B4" s="1" t="s">
        <v>24</v>
      </c>
    </row>
    <row r="5" spans="1:2">
      <c r="A5" s="1" t="s">
        <v>1</v>
      </c>
      <c r="B5" s="2" t="s">
        <v>25</v>
      </c>
    </row>
    <row r="6" spans="1:2">
      <c r="A6" s="1" t="s">
        <v>2</v>
      </c>
      <c r="B6" s="3" t="s">
        <v>26</v>
      </c>
    </row>
    <row r="7" spans="1:2">
      <c r="A7" s="1" t="s">
        <v>2</v>
      </c>
      <c r="B7" s="2" t="s">
        <v>27</v>
      </c>
    </row>
    <row r="8" spans="1:2">
      <c r="A8" s="1" t="s">
        <v>2</v>
      </c>
      <c r="B8" s="1" t="s">
        <v>28</v>
      </c>
    </row>
    <row r="9" spans="1:2">
      <c r="A9" s="1" t="s">
        <v>4</v>
      </c>
      <c r="B9" s="1">
        <v>1</v>
      </c>
    </row>
    <row r="10" spans="1:2">
      <c r="A10" s="1" t="s">
        <v>10</v>
      </c>
      <c r="B10" t="s">
        <v>32</v>
      </c>
    </row>
    <row r="11" spans="1:2">
      <c r="A11" s="1" t="s">
        <v>11</v>
      </c>
      <c r="B11" t="s">
        <v>34</v>
      </c>
    </row>
    <row r="12" spans="1:2">
      <c r="A12" s="1" t="s">
        <v>33</v>
      </c>
      <c r="B12" t="s">
        <v>35</v>
      </c>
    </row>
    <row r="13" spans="1:2">
      <c r="A13" s="1" t="s">
        <v>36</v>
      </c>
      <c r="B13" t="s">
        <v>38</v>
      </c>
    </row>
    <row r="14" spans="1:2">
      <c r="A14" s="1" t="s">
        <v>37</v>
      </c>
      <c r="B14" t="s">
        <v>39</v>
      </c>
    </row>
    <row r="15" spans="1:2">
      <c r="A15" s="1" t="s">
        <v>17</v>
      </c>
      <c r="B15" s="1" t="s">
        <v>43</v>
      </c>
    </row>
    <row r="16" spans="1:2">
      <c r="A16" s="1" t="s">
        <v>18</v>
      </c>
      <c r="B16" s="1" t="s">
        <v>42</v>
      </c>
    </row>
    <row r="17" spans="1:2">
      <c r="A17" s="1" t="s">
        <v>40</v>
      </c>
      <c r="B17" s="1" t="s">
        <v>41</v>
      </c>
    </row>
    <row r="18" spans="1:2">
      <c r="A18" s="1" t="s">
        <v>3</v>
      </c>
      <c r="B18" s="1">
        <v>3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&amp;CPage &amp;P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N9"/>
  <sheetViews>
    <sheetView zoomScale="125" zoomScaleNormal="125" zoomScalePageLayoutView="125" workbookViewId="0">
      <selection activeCell="A9" sqref="A6:A9"/>
    </sheetView>
  </sheetViews>
  <sheetFormatPr baseColWidth="10" defaultColWidth="11.5" defaultRowHeight="12" x14ac:dyDescent="0"/>
  <cols>
    <col min="4" max="4" width="19.6640625" customWidth="1"/>
    <col min="5" max="8" width="17.6640625" customWidth="1"/>
  </cols>
  <sheetData>
    <row r="1" spans="1:14">
      <c r="A1" t="s">
        <v>5</v>
      </c>
      <c r="B1" t="s">
        <v>6</v>
      </c>
      <c r="C1" t="s">
        <v>9</v>
      </c>
      <c r="D1" s="1" t="s">
        <v>12</v>
      </c>
      <c r="E1" s="1" t="s">
        <v>13</v>
      </c>
      <c r="F1" s="1" t="s">
        <v>29</v>
      </c>
      <c r="G1" s="1" t="s">
        <v>30</v>
      </c>
      <c r="H1" s="1" t="s">
        <v>31</v>
      </c>
      <c r="I1" t="s">
        <v>7</v>
      </c>
      <c r="J1" s="1" t="s">
        <v>8</v>
      </c>
      <c r="K1" s="1" t="s">
        <v>19</v>
      </c>
      <c r="L1" s="1" t="s">
        <v>20</v>
      </c>
      <c r="M1" s="1"/>
      <c r="N1" s="1"/>
    </row>
    <row r="2" spans="1:14">
      <c r="A2">
        <v>13</v>
      </c>
      <c r="B2">
        <v>31</v>
      </c>
      <c r="C2">
        <f>180-A2-B2</f>
        <v>136</v>
      </c>
      <c r="D2">
        <f>180+A2+B2</f>
        <v>224</v>
      </c>
      <c r="E2">
        <f>18-A2-B2</f>
        <v>-26</v>
      </c>
      <c r="F2">
        <f>200-A2-B2</f>
        <v>156</v>
      </c>
      <c r="G2">
        <f>180-A2</f>
        <v>167</v>
      </c>
      <c r="H2">
        <f>180-B2</f>
        <v>149</v>
      </c>
      <c r="I2">
        <f>A2+B2</f>
        <v>44</v>
      </c>
      <c r="J2">
        <v>180</v>
      </c>
      <c r="K2">
        <f>C2*0.99</f>
        <v>134.63999999999999</v>
      </c>
      <c r="L2">
        <f>$C2*1.01</f>
        <v>137.36000000000001</v>
      </c>
    </row>
    <row r="3" spans="1:14">
      <c r="A3">
        <v>43</v>
      </c>
      <c r="B3">
        <v>29</v>
      </c>
      <c r="C3">
        <f t="shared" ref="C3:C9" si="0">180-A3-B3</f>
        <v>108</v>
      </c>
      <c r="D3">
        <f t="shared" ref="D3:D9" si="1">180+A3+B3</f>
        <v>252</v>
      </c>
      <c r="E3">
        <f t="shared" ref="E3:E9" si="2">18-A3-B3</f>
        <v>-54</v>
      </c>
      <c r="F3">
        <f>200-A3-B3</f>
        <v>128</v>
      </c>
      <c r="G3">
        <f>180-A3</f>
        <v>137</v>
      </c>
      <c r="H3">
        <f>180-B3</f>
        <v>151</v>
      </c>
      <c r="I3">
        <f t="shared" ref="I3:I9" si="3">A3+B3</f>
        <v>72</v>
      </c>
      <c r="J3">
        <v>180</v>
      </c>
      <c r="K3">
        <f t="shared" ref="K3:K9" si="4">C3*0.99</f>
        <v>106.92</v>
      </c>
      <c r="L3">
        <f t="shared" ref="L3:L9" si="5">$C3*1.01</f>
        <v>109.08</v>
      </c>
    </row>
    <row r="4" spans="1:14">
      <c r="A4">
        <v>54</v>
      </c>
      <c r="B4">
        <v>28</v>
      </c>
      <c r="C4">
        <f t="shared" si="0"/>
        <v>98</v>
      </c>
      <c r="D4">
        <f t="shared" si="1"/>
        <v>262</v>
      </c>
      <c r="E4">
        <f t="shared" si="2"/>
        <v>-64</v>
      </c>
      <c r="F4">
        <f>200-A4-B4</f>
        <v>118</v>
      </c>
      <c r="G4">
        <f>180-A4</f>
        <v>126</v>
      </c>
      <c r="H4">
        <f>180-B4</f>
        <v>152</v>
      </c>
      <c r="I4">
        <f t="shared" si="3"/>
        <v>82</v>
      </c>
      <c r="J4">
        <v>180</v>
      </c>
      <c r="K4">
        <f t="shared" si="4"/>
        <v>97.02</v>
      </c>
      <c r="L4">
        <f t="shared" si="5"/>
        <v>98.98</v>
      </c>
    </row>
    <row r="5" spans="1:14">
      <c r="A5">
        <v>56</v>
      </c>
      <c r="B5">
        <v>26</v>
      </c>
      <c r="C5">
        <f t="shared" si="0"/>
        <v>98</v>
      </c>
      <c r="D5">
        <f t="shared" si="1"/>
        <v>262</v>
      </c>
      <c r="E5">
        <f t="shared" si="2"/>
        <v>-64</v>
      </c>
      <c r="F5">
        <f>200-A5-B5</f>
        <v>118</v>
      </c>
      <c r="G5">
        <f>180-A5</f>
        <v>124</v>
      </c>
      <c r="H5">
        <f>180-B5</f>
        <v>154</v>
      </c>
      <c r="I5">
        <f t="shared" si="3"/>
        <v>82</v>
      </c>
      <c r="J5">
        <v>180</v>
      </c>
      <c r="K5">
        <f t="shared" si="4"/>
        <v>97.02</v>
      </c>
      <c r="L5">
        <f t="shared" si="5"/>
        <v>98.98</v>
      </c>
    </row>
    <row r="6" spans="1:14">
      <c r="A6">
        <v>61</v>
      </c>
      <c r="B6">
        <v>24</v>
      </c>
      <c r="C6">
        <f t="shared" si="0"/>
        <v>95</v>
      </c>
      <c r="D6">
        <f t="shared" si="1"/>
        <v>265</v>
      </c>
      <c r="E6">
        <f t="shared" si="2"/>
        <v>-67</v>
      </c>
      <c r="F6">
        <f>200-A6-B6</f>
        <v>115</v>
      </c>
      <c r="G6">
        <f>180-A6</f>
        <v>119</v>
      </c>
      <c r="H6">
        <f>180-B6</f>
        <v>156</v>
      </c>
      <c r="I6">
        <f t="shared" si="3"/>
        <v>85</v>
      </c>
      <c r="J6">
        <v>180</v>
      </c>
      <c r="K6">
        <f t="shared" si="4"/>
        <v>94.05</v>
      </c>
      <c r="L6">
        <f t="shared" si="5"/>
        <v>95.95</v>
      </c>
    </row>
    <row r="7" spans="1:14">
      <c r="A7">
        <v>32</v>
      </c>
      <c r="B7">
        <v>22</v>
      </c>
      <c r="C7">
        <f t="shared" si="0"/>
        <v>126</v>
      </c>
      <c r="D7">
        <f t="shared" si="1"/>
        <v>234</v>
      </c>
      <c r="E7">
        <f t="shared" si="2"/>
        <v>-36</v>
      </c>
      <c r="F7">
        <f>200-A7-B7</f>
        <v>146</v>
      </c>
      <c r="G7">
        <f>180-A7</f>
        <v>148</v>
      </c>
      <c r="H7">
        <f>180-B7</f>
        <v>158</v>
      </c>
      <c r="I7">
        <f t="shared" si="3"/>
        <v>54</v>
      </c>
      <c r="J7">
        <v>180</v>
      </c>
      <c r="K7">
        <f t="shared" si="4"/>
        <v>124.74</v>
      </c>
      <c r="L7">
        <f t="shared" si="5"/>
        <v>127.26</v>
      </c>
    </row>
    <row r="8" spans="1:14">
      <c r="A8">
        <v>49</v>
      </c>
      <c r="B8">
        <v>21</v>
      </c>
      <c r="C8">
        <f t="shared" si="0"/>
        <v>110</v>
      </c>
      <c r="D8">
        <f t="shared" si="1"/>
        <v>250</v>
      </c>
      <c r="E8">
        <f t="shared" si="2"/>
        <v>-52</v>
      </c>
      <c r="F8">
        <f>200-A8-B8</f>
        <v>130</v>
      </c>
      <c r="G8">
        <f>180-A8</f>
        <v>131</v>
      </c>
      <c r="H8">
        <f>180-B8</f>
        <v>159</v>
      </c>
      <c r="I8">
        <f t="shared" si="3"/>
        <v>70</v>
      </c>
      <c r="J8">
        <v>180</v>
      </c>
      <c r="K8">
        <f t="shared" si="4"/>
        <v>108.9</v>
      </c>
      <c r="L8">
        <f t="shared" si="5"/>
        <v>111.1</v>
      </c>
    </row>
    <row r="9" spans="1:14">
      <c r="A9">
        <v>41</v>
      </c>
      <c r="B9">
        <v>34</v>
      </c>
      <c r="C9">
        <f t="shared" si="0"/>
        <v>105</v>
      </c>
      <c r="D9">
        <f t="shared" si="1"/>
        <v>255</v>
      </c>
      <c r="E9">
        <f t="shared" si="2"/>
        <v>-57</v>
      </c>
      <c r="F9">
        <f>200-A9-B9</f>
        <v>125</v>
      </c>
      <c r="G9">
        <f>180-A9</f>
        <v>139</v>
      </c>
      <c r="H9">
        <f>180-B9</f>
        <v>146</v>
      </c>
      <c r="I9">
        <f t="shared" si="3"/>
        <v>75</v>
      </c>
      <c r="J9">
        <v>180</v>
      </c>
      <c r="K9">
        <f t="shared" si="4"/>
        <v>103.95</v>
      </c>
      <c r="L9">
        <f t="shared" si="5"/>
        <v>106.05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&amp;CPage &amp;P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18"/>
  <sheetViews>
    <sheetView zoomScale="125" zoomScaleNormal="125" zoomScalePageLayoutView="125" workbookViewId="0">
      <selection activeCell="B3" sqref="B3"/>
    </sheetView>
  </sheetViews>
  <sheetFormatPr baseColWidth="10" defaultColWidth="11.5" defaultRowHeight="12" x14ac:dyDescent="0"/>
  <cols>
    <col min="1" max="1" width="26.83203125" style="1" customWidth="1"/>
    <col min="2" max="2" width="115" style="1" customWidth="1"/>
    <col min="3" max="16384" width="11.5" style="1"/>
  </cols>
  <sheetData>
    <row r="1" spans="1:2">
      <c r="A1" s="1" t="s">
        <v>0</v>
      </c>
      <c r="B1" s="2" t="s">
        <v>22</v>
      </c>
    </row>
    <row r="2" spans="1:2">
      <c r="A2" s="1" t="s">
        <v>0</v>
      </c>
      <c r="B2" s="2" t="s">
        <v>48</v>
      </c>
    </row>
    <row r="3" spans="1:2">
      <c r="A3" s="1" t="s">
        <v>0</v>
      </c>
      <c r="B3" s="2" t="s">
        <v>23</v>
      </c>
    </row>
    <row r="4" spans="1:2">
      <c r="A4" s="1" t="s">
        <v>0</v>
      </c>
      <c r="B4" s="1" t="s">
        <v>24</v>
      </c>
    </row>
    <row r="5" spans="1:2">
      <c r="A5" s="1" t="s">
        <v>1</v>
      </c>
      <c r="B5" s="2" t="s">
        <v>25</v>
      </c>
    </row>
    <row r="6" spans="1:2">
      <c r="A6" s="1" t="s">
        <v>2</v>
      </c>
      <c r="B6" s="3" t="s">
        <v>26</v>
      </c>
    </row>
    <row r="7" spans="1:2">
      <c r="A7" s="1" t="s">
        <v>2</v>
      </c>
      <c r="B7" s="2" t="s">
        <v>27</v>
      </c>
    </row>
    <row r="8" spans="1:2">
      <c r="A8" s="1" t="s">
        <v>2</v>
      </c>
      <c r="B8" s="1" t="s">
        <v>28</v>
      </c>
    </row>
    <row r="9" spans="1:2">
      <c r="A9" s="1" t="s">
        <v>4</v>
      </c>
      <c r="B9" s="1">
        <v>1</v>
      </c>
    </row>
    <row r="10" spans="1:2">
      <c r="A10" s="1" t="s">
        <v>10</v>
      </c>
      <c r="B10" t="s">
        <v>32</v>
      </c>
    </row>
    <row r="11" spans="1:2">
      <c r="A11" s="1" t="s">
        <v>11</v>
      </c>
      <c r="B11" t="s">
        <v>34</v>
      </c>
    </row>
    <row r="12" spans="1:2">
      <c r="A12" s="1" t="s">
        <v>33</v>
      </c>
      <c r="B12" t="s">
        <v>35</v>
      </c>
    </row>
    <row r="13" spans="1:2">
      <c r="A13" s="1" t="s">
        <v>36</v>
      </c>
      <c r="B13" t="s">
        <v>38</v>
      </c>
    </row>
    <row r="14" spans="1:2">
      <c r="A14" s="1" t="s">
        <v>37</v>
      </c>
      <c r="B14" t="s">
        <v>39</v>
      </c>
    </row>
    <row r="15" spans="1:2">
      <c r="A15" s="1" t="s">
        <v>17</v>
      </c>
      <c r="B15" s="1" t="s">
        <v>43</v>
      </c>
    </row>
    <row r="16" spans="1:2">
      <c r="A16" s="1" t="s">
        <v>18</v>
      </c>
      <c r="B16" s="1" t="s">
        <v>42</v>
      </c>
    </row>
    <row r="17" spans="1:2">
      <c r="A17" s="1" t="s">
        <v>40</v>
      </c>
      <c r="B17" s="1" t="s">
        <v>41</v>
      </c>
    </row>
    <row r="18" spans="1:2">
      <c r="A18" s="1" t="s">
        <v>3</v>
      </c>
      <c r="B18" s="1">
        <v>3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&amp;CPage &amp;P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N9"/>
  <sheetViews>
    <sheetView zoomScale="125" zoomScaleNormal="125" zoomScalePageLayoutView="125" workbookViewId="0">
      <selection activeCell="M8" sqref="M8"/>
    </sheetView>
  </sheetViews>
  <sheetFormatPr baseColWidth="10" defaultColWidth="11.5" defaultRowHeight="12" x14ac:dyDescent="0"/>
  <cols>
    <col min="4" max="4" width="19.6640625" customWidth="1"/>
    <col min="5" max="8" width="17.6640625" customWidth="1"/>
  </cols>
  <sheetData>
    <row r="1" spans="1:14">
      <c r="A1" t="s">
        <v>5</v>
      </c>
      <c r="B1" t="s">
        <v>6</v>
      </c>
      <c r="C1" t="s">
        <v>9</v>
      </c>
      <c r="D1" s="1" t="s">
        <v>12</v>
      </c>
      <c r="E1" s="1" t="s">
        <v>13</v>
      </c>
      <c r="F1" s="1" t="s">
        <v>29</v>
      </c>
      <c r="G1" s="1" t="s">
        <v>30</v>
      </c>
      <c r="H1" s="1" t="s">
        <v>31</v>
      </c>
      <c r="I1" t="s">
        <v>7</v>
      </c>
      <c r="J1" s="1" t="s">
        <v>8</v>
      </c>
      <c r="K1" s="1" t="s">
        <v>19</v>
      </c>
      <c r="L1" s="1" t="s">
        <v>20</v>
      </c>
      <c r="M1" s="1"/>
      <c r="N1" s="1"/>
    </row>
    <row r="2" spans="1:14">
      <c r="A2">
        <v>10</v>
      </c>
      <c r="B2">
        <v>30</v>
      </c>
      <c r="C2">
        <f>180-A2-B2</f>
        <v>140</v>
      </c>
      <c r="D2">
        <f>180+A2+B2</f>
        <v>220</v>
      </c>
      <c r="E2">
        <f>18-A2-B2</f>
        <v>-22</v>
      </c>
      <c r="F2">
        <f>200-A2-B2</f>
        <v>160</v>
      </c>
      <c r="G2">
        <f>180-A2</f>
        <v>170</v>
      </c>
      <c r="H2">
        <f>180-B2</f>
        <v>150</v>
      </c>
      <c r="I2">
        <f>A2+B2</f>
        <v>40</v>
      </c>
      <c r="J2">
        <v>180</v>
      </c>
      <c r="K2">
        <f>C2*0.99</f>
        <v>138.6</v>
      </c>
      <c r="L2">
        <f>$C2*1.01</f>
        <v>141.4</v>
      </c>
    </row>
    <row r="3" spans="1:14">
      <c r="A3">
        <v>20</v>
      </c>
      <c r="B3">
        <v>40</v>
      </c>
      <c r="C3">
        <f t="shared" ref="C3:C9" si="0">180-A3-B3</f>
        <v>120</v>
      </c>
      <c r="D3">
        <f t="shared" ref="D3:D9" si="1">180+A3+B3</f>
        <v>240</v>
      </c>
      <c r="E3">
        <f t="shared" ref="E3:E9" si="2">18-A3-B3</f>
        <v>-42</v>
      </c>
      <c r="F3">
        <f>200-A3-B3</f>
        <v>140</v>
      </c>
      <c r="G3">
        <f>180-A3</f>
        <v>160</v>
      </c>
      <c r="H3">
        <f>180-B3</f>
        <v>140</v>
      </c>
      <c r="I3">
        <f t="shared" ref="I3:I9" si="3">A3+B3</f>
        <v>60</v>
      </c>
      <c r="J3">
        <v>180</v>
      </c>
      <c r="K3">
        <f t="shared" ref="K3:K9" si="4">C3*0.99</f>
        <v>118.8</v>
      </c>
      <c r="L3">
        <f t="shared" ref="L3:L9" si="5">$C3*1.01</f>
        <v>121.2</v>
      </c>
    </row>
    <row r="4" spans="1:14">
      <c r="A4">
        <v>30</v>
      </c>
      <c r="B4">
        <v>50</v>
      </c>
      <c r="C4">
        <f t="shared" si="0"/>
        <v>100</v>
      </c>
      <c r="D4">
        <f t="shared" si="1"/>
        <v>260</v>
      </c>
      <c r="E4">
        <f t="shared" si="2"/>
        <v>-62</v>
      </c>
      <c r="F4">
        <f>200-A4-B4</f>
        <v>120</v>
      </c>
      <c r="G4">
        <f>180-A4</f>
        <v>150</v>
      </c>
      <c r="H4">
        <f>180-B4</f>
        <v>130</v>
      </c>
      <c r="I4">
        <f t="shared" si="3"/>
        <v>80</v>
      </c>
      <c r="J4">
        <v>180</v>
      </c>
      <c r="K4">
        <f t="shared" si="4"/>
        <v>99</v>
      </c>
      <c r="L4">
        <f t="shared" si="5"/>
        <v>101</v>
      </c>
    </row>
    <row r="5" spans="1:14">
      <c r="A5">
        <v>40</v>
      </c>
      <c r="B5">
        <v>40</v>
      </c>
      <c r="C5">
        <f t="shared" si="0"/>
        <v>100</v>
      </c>
      <c r="D5">
        <f t="shared" si="1"/>
        <v>260</v>
      </c>
      <c r="E5">
        <f t="shared" si="2"/>
        <v>-62</v>
      </c>
      <c r="F5">
        <f>200-A5-B5</f>
        <v>120</v>
      </c>
      <c r="G5">
        <f>180-A5</f>
        <v>140</v>
      </c>
      <c r="H5">
        <f>180-B5</f>
        <v>140</v>
      </c>
      <c r="I5">
        <f t="shared" si="3"/>
        <v>80</v>
      </c>
      <c r="J5">
        <v>180</v>
      </c>
      <c r="K5">
        <f t="shared" si="4"/>
        <v>99</v>
      </c>
      <c r="L5">
        <f t="shared" si="5"/>
        <v>101</v>
      </c>
    </row>
    <row r="6" spans="1:14">
      <c r="A6">
        <v>10</v>
      </c>
      <c r="B6">
        <v>20</v>
      </c>
      <c r="C6">
        <f t="shared" si="0"/>
        <v>150</v>
      </c>
      <c r="D6">
        <f t="shared" si="1"/>
        <v>210</v>
      </c>
      <c r="E6">
        <f t="shared" si="2"/>
        <v>-12</v>
      </c>
      <c r="F6">
        <f>200-A6-B6</f>
        <v>170</v>
      </c>
      <c r="G6">
        <f>180-A6</f>
        <v>170</v>
      </c>
      <c r="H6">
        <f>180-B6</f>
        <v>160</v>
      </c>
      <c r="I6">
        <f t="shared" si="3"/>
        <v>30</v>
      </c>
      <c r="J6">
        <v>180</v>
      </c>
      <c r="K6">
        <f t="shared" si="4"/>
        <v>148.5</v>
      </c>
      <c r="L6">
        <f t="shared" si="5"/>
        <v>151.5</v>
      </c>
    </row>
    <row r="7" spans="1:14">
      <c r="A7">
        <v>20</v>
      </c>
      <c r="B7">
        <v>50</v>
      </c>
      <c r="C7">
        <f t="shared" si="0"/>
        <v>110</v>
      </c>
      <c r="D7">
        <f t="shared" si="1"/>
        <v>250</v>
      </c>
      <c r="E7">
        <f t="shared" si="2"/>
        <v>-52</v>
      </c>
      <c r="F7">
        <f>200-A7-B7</f>
        <v>130</v>
      </c>
      <c r="G7">
        <f>180-A7</f>
        <v>160</v>
      </c>
      <c r="H7">
        <f>180-B7</f>
        <v>130</v>
      </c>
      <c r="I7">
        <f t="shared" si="3"/>
        <v>70</v>
      </c>
      <c r="J7">
        <v>180</v>
      </c>
      <c r="K7">
        <f t="shared" si="4"/>
        <v>108.9</v>
      </c>
      <c r="L7">
        <f t="shared" si="5"/>
        <v>111.1</v>
      </c>
    </row>
    <row r="8" spans="1:14">
      <c r="A8">
        <v>40</v>
      </c>
      <c r="B8">
        <v>10</v>
      </c>
      <c r="C8">
        <f t="shared" si="0"/>
        <v>130</v>
      </c>
      <c r="D8">
        <f t="shared" si="1"/>
        <v>230</v>
      </c>
      <c r="E8">
        <f t="shared" si="2"/>
        <v>-32</v>
      </c>
      <c r="F8">
        <f>200-A8-B8</f>
        <v>150</v>
      </c>
      <c r="G8">
        <f>180-A8</f>
        <v>140</v>
      </c>
      <c r="H8">
        <f>180-B8</f>
        <v>170</v>
      </c>
      <c r="I8">
        <f t="shared" si="3"/>
        <v>50</v>
      </c>
      <c r="J8">
        <v>180</v>
      </c>
      <c r="K8">
        <f t="shared" si="4"/>
        <v>128.69999999999999</v>
      </c>
      <c r="L8">
        <f t="shared" si="5"/>
        <v>131.30000000000001</v>
      </c>
    </row>
    <row r="9" spans="1:14">
      <c r="A9">
        <v>40</v>
      </c>
      <c r="B9">
        <v>30</v>
      </c>
      <c r="C9">
        <f t="shared" si="0"/>
        <v>110</v>
      </c>
      <c r="D9">
        <f t="shared" si="1"/>
        <v>250</v>
      </c>
      <c r="E9">
        <f t="shared" si="2"/>
        <v>-52</v>
      </c>
      <c r="F9">
        <f>200-A9-B9</f>
        <v>130</v>
      </c>
      <c r="G9">
        <f>180-A9</f>
        <v>140</v>
      </c>
      <c r="H9">
        <f>180-B9</f>
        <v>150</v>
      </c>
      <c r="I9">
        <f t="shared" si="3"/>
        <v>70</v>
      </c>
      <c r="J9">
        <v>180</v>
      </c>
      <c r="K9">
        <f t="shared" si="4"/>
        <v>108.9</v>
      </c>
      <c r="L9">
        <f t="shared" si="5"/>
        <v>111.1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&amp;CPage &amp;P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GO</vt:lpstr>
      <vt:lpstr>exercise_info.csv</vt:lpstr>
      <vt:lpstr>skeletons_02.csv</vt:lpstr>
      <vt:lpstr>variables_02.csv</vt:lpstr>
      <vt:lpstr>skeletons_01.csv</vt:lpstr>
      <vt:lpstr>variables_01.csv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Abelman</cp:lastModifiedBy>
  <dcterms:created xsi:type="dcterms:W3CDTF">2016-01-11T19:40:06Z</dcterms:created>
  <dcterms:modified xsi:type="dcterms:W3CDTF">2016-01-24T13:03:16Z</dcterms:modified>
</cp:coreProperties>
</file>